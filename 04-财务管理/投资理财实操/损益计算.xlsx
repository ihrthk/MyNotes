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firstSheet="2" activeTab="7"/>
  </bookViews>
  <sheets>
    <sheet name="收益计算" sheetId="1" r:id="rId1"/>
    <sheet name="现金贷款(已发生)" sheetId="2" r:id="rId2"/>
    <sheet name="现金贷款(试算)" sheetId="4" r:id="rId3"/>
    <sheet name="19年信用卡消费" sheetId="3" r:id="rId4"/>
    <sheet name="沪深300价值" sheetId="5" r:id="rId5"/>
    <sheet name="刘梓桐进钱" sheetId="7" r:id="rId6"/>
    <sheet name="刘梓桐成本计算" sheetId="8" r:id="rId7"/>
    <sheet name="真实年化利率(学习版)" sheetId="9" r:id="rId8"/>
  </sheets>
  <calcPr calcId="144525" concurrentCalc="0"/>
</workbook>
</file>

<file path=xl/sharedStrings.xml><?xml version="1.0" encoding="utf-8"?>
<sst xmlns="http://schemas.openxmlformats.org/spreadsheetml/2006/main" count="345" uniqueCount="115">
  <si>
    <t>预估定投收益(期初支付)</t>
  </si>
  <si>
    <t>复合年化</t>
  </si>
  <si>
    <t>定投年限</t>
  </si>
  <si>
    <t>每月定投</t>
  </si>
  <si>
    <t>账面价值</t>
  </si>
  <si>
    <t>投入成本</t>
  </si>
  <si>
    <t>绝对收益</t>
  </si>
  <si>
    <t>绝对收益率</t>
  </si>
  <si>
    <t>真实复合年化</t>
  </si>
  <si>
    <t>预估定投金额(期初支付)</t>
  </si>
  <si>
    <t>预期收益</t>
  </si>
  <si>
    <t>房贷(期末支付)</t>
  </si>
  <si>
    <t>利率说明</t>
  </si>
  <si>
    <t>房贷利率</t>
  </si>
  <si>
    <t>还款年限</t>
  </si>
  <si>
    <t>贷款金额</t>
  </si>
  <si>
    <t>每月还款</t>
  </si>
  <si>
    <t>绝对利息</t>
  </si>
  <si>
    <t>用途</t>
  </si>
  <si>
    <t>公积金</t>
  </si>
  <si>
    <t>北京延庆房贷</t>
  </si>
  <si>
    <t xml:space="preserve"> LPR(4.65%)+30</t>
  </si>
  <si>
    <t>天津房贷</t>
  </si>
  <si>
    <t>一次性投资</t>
  </si>
  <si>
    <t>一次性投入</t>
  </si>
  <si>
    <t>年收益率</t>
  </si>
  <si>
    <t>年收益</t>
  </si>
  <si>
    <t>月收益</t>
  </si>
  <si>
    <t>本息合计</t>
  </si>
  <si>
    <t>真实收益</t>
  </si>
  <si>
    <t>买入价格</t>
  </si>
  <si>
    <t>卖出价格</t>
  </si>
  <si>
    <t>投资年限</t>
  </si>
  <si>
    <t>复合年化收益率</t>
  </si>
  <si>
    <t>持仓收益率</t>
  </si>
  <si>
    <t>中证消费</t>
  </si>
  <si>
    <t>市盈率</t>
  </si>
  <si>
    <t>当前值</t>
  </si>
  <si>
    <t>危险值</t>
  </si>
  <si>
    <t>中位值</t>
  </si>
  <si>
    <t>机会值</t>
  </si>
  <si>
    <t>(18000/6000)^(1/8)-1</t>
  </si>
  <si>
    <t>借款107800，利息17415.09，共还125215.09(2017年6月10号借，利息万分之2.25)</t>
  </si>
  <si>
    <t>借款20000(2018年8月13) 100</t>
  </si>
  <si>
    <t>借款74000，2017年6月16号，333</t>
  </si>
  <si>
    <t>建行分期3.1折试算</t>
  </si>
  <si>
    <t>期数</t>
  </si>
  <si>
    <t>初始现金流</t>
  </si>
  <si>
    <t>每月现金流</t>
  </si>
  <si>
    <t>实际月利率</t>
  </si>
  <si>
    <t>实际年利率</t>
  </si>
  <si>
    <t>实际月利息</t>
  </si>
  <si>
    <t>实际月息</t>
  </si>
  <si>
    <t>实际年息</t>
  </si>
  <si>
    <t>民生银行,家园贷(试算)</t>
  </si>
  <si>
    <t>工行融e借，1万块，先息后本</t>
  </si>
  <si>
    <t>工行融e借，1万块，等额本息</t>
  </si>
  <si>
    <t>工行融e借，1万块，等额本息(2021.6.30截止)</t>
  </si>
  <si>
    <t>0期</t>
  </si>
  <si>
    <t>1期</t>
  </si>
  <si>
    <t>2期</t>
  </si>
  <si>
    <t>3期</t>
  </si>
  <si>
    <t>4期</t>
  </si>
  <si>
    <t>5期</t>
  </si>
  <si>
    <t>6期</t>
  </si>
  <si>
    <t>7期</t>
  </si>
  <si>
    <t>8期</t>
  </si>
  <si>
    <t>9期</t>
  </si>
  <si>
    <t>10期</t>
  </si>
  <si>
    <t>11期</t>
  </si>
  <si>
    <t>12期</t>
  </si>
  <si>
    <t>广发</t>
  </si>
  <si>
    <t>工行</t>
  </si>
  <si>
    <t>招商</t>
  </si>
  <si>
    <t>2019年1月账单</t>
  </si>
  <si>
    <t>2019年2月账单</t>
  </si>
  <si>
    <t>2019年3月账单</t>
  </si>
  <si>
    <t>2019年4月账单</t>
  </si>
  <si>
    <t>2019年5月账单</t>
  </si>
  <si>
    <t>2019年6月账单</t>
  </si>
  <si>
    <t>2019年7月账单</t>
  </si>
  <si>
    <t>2019年8月账单</t>
  </si>
  <si>
    <t>2019年9月账单</t>
  </si>
  <si>
    <t>2019年10月账单</t>
  </si>
  <si>
    <t>2019年11月账单</t>
  </si>
  <si>
    <t>2019年12月账单</t>
  </si>
  <si>
    <t>合计</t>
  </si>
  <si>
    <t>平均</t>
  </si>
  <si>
    <t>时间</t>
  </si>
  <si>
    <t>金额</t>
  </si>
  <si>
    <t xml:space="preserve"> </t>
  </si>
  <si>
    <t>备注</t>
  </si>
  <si>
    <t>LPR-40个基点</t>
  </si>
  <si>
    <t>方案一：月薪宝组合(股债4:6)</t>
  </si>
  <si>
    <t>利率</t>
  </si>
  <si>
    <t>年限</t>
  </si>
  <si>
    <t>总额</t>
  </si>
  <si>
    <t>月额</t>
  </si>
  <si>
    <t>成本</t>
  </si>
  <si>
    <t>卖出</t>
  </si>
  <si>
    <t>时间长度</t>
  </si>
  <si>
    <t>数量</t>
  </si>
  <si>
    <t>复利收益(平均每年)</t>
  </si>
  <si>
    <t>单利收益(平均每年)</t>
  </si>
  <si>
    <t>真实年化利率(学习版)     https://www.xuetax.com/loans/realNianHua</t>
  </si>
  <si>
    <t>贷款总额</t>
  </si>
  <si>
    <t>手续费</t>
  </si>
  <si>
    <t>序号</t>
  </si>
  <si>
    <t>实际资金</t>
  </si>
  <si>
    <t>单利6%卖出，平均每年收益</t>
  </si>
  <si>
    <t>复利6%卖出，平均每年收益</t>
  </si>
  <si>
    <t>单利10%卖出，平均每年收益</t>
  </si>
  <si>
    <t>复利10%卖出，平均每年收益</t>
  </si>
  <si>
    <t>单利15%卖出，平均每年收益</t>
  </si>
  <si>
    <t>复利15%卖出，平均每年收益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</si>
</sst>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yyyy&quot;年&quot;m&quot;月&quot;d&quot;日&quot;;@"/>
    <numFmt numFmtId="178" formatCode="0.00000000%"/>
  </numFmts>
  <fonts count="23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C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right" vertical="center"/>
    </xf>
    <xf numFmtId="7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7" fontId="1" fillId="0" borderId="0" xfId="0" applyNumberFormat="1" applyFont="1" applyFill="1" applyAlignment="1">
      <alignment vertical="center"/>
    </xf>
    <xf numFmtId="7" fontId="2" fillId="0" borderId="0" xfId="0" applyNumberFormat="1" applyFont="1" applyFill="1" applyAlignment="1">
      <alignment vertical="center"/>
    </xf>
    <xf numFmtId="8" fontId="0" fillId="2" borderId="0" xfId="0" applyNumberFormat="1" applyFill="1" applyAlignment="1">
      <alignment horizontal="center" vertical="center"/>
    </xf>
    <xf numFmtId="10" fontId="0" fillId="0" borderId="0" xfId="0" applyNumberFormat="1">
      <alignment vertical="center"/>
    </xf>
    <xf numFmtId="7" fontId="0" fillId="0" borderId="0" xfId="0" applyNumberFormat="1">
      <alignment vertical="center"/>
    </xf>
    <xf numFmtId="1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Font="1" applyFill="1" applyBorder="1" applyAlignment="1" applyProtection="1">
      <alignment vertical="center"/>
    </xf>
    <xf numFmtId="8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7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177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7" fontId="0" fillId="0" borderId="0" xfId="0" applyNumberFormat="1" applyFont="1" applyFill="1" applyAlignment="1">
      <alignment horizontal="right" vertical="center"/>
    </xf>
    <xf numFmtId="176" fontId="0" fillId="0" borderId="0" xfId="3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/>
    </xf>
    <xf numFmtId="57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  <xf numFmtId="0" fontId="0" fillId="0" borderId="0" xfId="0" applyFill="1" applyAlignment="1">
      <alignment horizontal="right" vertical="center"/>
    </xf>
    <xf numFmtId="7" fontId="0" fillId="0" borderId="0" xfId="0" applyNumberFormat="1" applyFill="1" applyAlignment="1">
      <alignment horizontal="right" vertical="center"/>
    </xf>
    <xf numFmtId="176" fontId="0" fillId="0" borderId="0" xfId="0" applyNumberFormat="1" applyFill="1" applyAlignment="1">
      <alignment horizontal="right" vertical="center"/>
    </xf>
    <xf numFmtId="10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178" fontId="3" fillId="0" borderId="0" xfId="0" applyNumberFormat="1" applyFont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Fill="1" applyAlignment="1">
      <alignment horizontal="right" vertical="center" wrapText="1"/>
    </xf>
    <xf numFmtId="10" fontId="1" fillId="0" borderId="0" xfId="0" applyNumberFormat="1" applyFon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8" fontId="0" fillId="0" borderId="0" xfId="0" applyNumberFormat="1" applyFill="1" applyAlignment="1">
      <alignment horizontal="right" vertical="center"/>
    </xf>
    <xf numFmtId="9" fontId="0" fillId="0" borderId="0" xfId="0" applyNumberFormat="1" applyFill="1" applyAlignment="1">
      <alignment horizontal="right"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uetax.com/loans/realNianHu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uetax.com/loans/realNianH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zoomScale="151" zoomScaleNormal="151" topLeftCell="A9" workbookViewId="0">
      <selection activeCell="F13" sqref="F13"/>
    </sheetView>
  </sheetViews>
  <sheetFormatPr defaultColWidth="9.07142857142857" defaultRowHeight="17.6" outlineLevelCol="7"/>
  <cols>
    <col min="1" max="1" width="18.6160714285714" style="30" customWidth="1"/>
    <col min="2" max="2" width="13.0982142857143" style="30" customWidth="1"/>
    <col min="3" max="3" width="16.5803571428571" style="30" customWidth="1"/>
    <col min="4" max="4" width="19.1160714285714" style="30" customWidth="1"/>
    <col min="5" max="5" width="16.7946428571429" style="30" customWidth="1"/>
    <col min="6" max="6" width="17.9017857142857" style="30" customWidth="1"/>
    <col min="7" max="7" width="16.9375" style="30" customWidth="1"/>
    <col min="8" max="8" width="19.8303571428571" style="30" customWidth="1"/>
    <col min="9" max="9" width="15.4285714285714" style="30"/>
    <col min="10" max="10" width="11.5" style="30"/>
    <col min="11" max="16384" width="9.14285714285714" style="30"/>
  </cols>
  <sheetData>
    <row r="1" s="30" customFormat="1" spans="1:7">
      <c r="A1" s="40" t="s">
        <v>0</v>
      </c>
      <c r="B1" s="40"/>
      <c r="C1" s="40"/>
      <c r="D1" s="40"/>
      <c r="E1" s="40"/>
      <c r="F1" s="40"/>
      <c r="G1" s="40"/>
    </row>
    <row r="2" s="30" customFormat="1" spans="1:8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</row>
    <row r="3" s="30" customFormat="1" spans="1:8">
      <c r="A3" s="33">
        <v>0.12</v>
      </c>
      <c r="B3" s="30">
        <v>30</v>
      </c>
      <c r="C3" s="30">
        <v>-286</v>
      </c>
      <c r="D3" s="41">
        <f t="shared" ref="D3:D7" si="0">FV(A3/12,B3*12,C3,0,1)</f>
        <v>1009555.33939151</v>
      </c>
      <c r="E3" s="31">
        <f t="shared" ref="E3:E7" si="1">(B3*C3*12)</f>
        <v>-102960</v>
      </c>
      <c r="F3" s="31">
        <f t="shared" ref="F3:F7" si="2">(D3+E3)</f>
        <v>906595.33939151</v>
      </c>
      <c r="G3" s="33">
        <f t="shared" ref="G3:G7" si="3">F3/-E3</f>
        <v>8.80531603915608</v>
      </c>
      <c r="H3" s="33">
        <f t="shared" ref="H3:H7" si="4">(D3/-E3)^(1/B3)-1</f>
        <v>0.0790677670432383</v>
      </c>
    </row>
    <row r="4" s="30" customFormat="1" spans="1:8">
      <c r="A4" s="33">
        <v>0.12</v>
      </c>
      <c r="B4" s="30">
        <v>10</v>
      </c>
      <c r="C4" s="30">
        <v>-10000</v>
      </c>
      <c r="D4" s="41">
        <f t="shared" si="0"/>
        <v>2323390.7635194</v>
      </c>
      <c r="E4" s="31">
        <f t="shared" si="1"/>
        <v>-1200000</v>
      </c>
      <c r="F4" s="31">
        <f t="shared" si="2"/>
        <v>1123390.7635194</v>
      </c>
      <c r="G4" s="33">
        <f t="shared" si="3"/>
        <v>0.936158969599504</v>
      </c>
      <c r="H4" s="33">
        <f t="shared" si="4"/>
        <v>0.0683021470910194</v>
      </c>
    </row>
    <row r="5" s="30" customFormat="1" spans="1:8">
      <c r="A5" s="33">
        <v>0.0325</v>
      </c>
      <c r="B5" s="30">
        <v>25</v>
      </c>
      <c r="C5" s="30">
        <v>-5847.79</v>
      </c>
      <c r="D5" s="41">
        <f t="shared" si="0"/>
        <v>2708587.13602308</v>
      </c>
      <c r="E5" s="31">
        <f t="shared" si="1"/>
        <v>-1754337</v>
      </c>
      <c r="F5" s="31">
        <f t="shared" si="2"/>
        <v>954250.136023083</v>
      </c>
      <c r="G5" s="33">
        <f t="shared" si="3"/>
        <v>0.543937758836006</v>
      </c>
      <c r="H5" s="33">
        <f t="shared" si="4"/>
        <v>0.0175252416712401</v>
      </c>
    </row>
    <row r="6" s="30" customFormat="1" spans="1:8">
      <c r="A6" s="33">
        <v>0.12</v>
      </c>
      <c r="B6" s="30">
        <v>50</v>
      </c>
      <c r="C6" s="30">
        <v>-20000</v>
      </c>
      <c r="D6" s="41">
        <f t="shared" si="0"/>
        <v>788978461.93863</v>
      </c>
      <c r="E6" s="31">
        <f t="shared" si="1"/>
        <v>-12000000</v>
      </c>
      <c r="F6" s="31">
        <f t="shared" si="2"/>
        <v>776978461.93863</v>
      </c>
      <c r="G6" s="33">
        <f t="shared" si="3"/>
        <v>64.7482051615525</v>
      </c>
      <c r="H6" s="33">
        <f t="shared" si="4"/>
        <v>0.0873207550520256</v>
      </c>
    </row>
    <row r="7" s="30" customFormat="1" spans="1:8">
      <c r="A7" s="33">
        <v>0.15</v>
      </c>
      <c r="B7" s="30">
        <v>10</v>
      </c>
      <c r="C7" s="30">
        <v>-15000</v>
      </c>
      <c r="D7" s="41">
        <f t="shared" si="0"/>
        <v>4179859.07316116</v>
      </c>
      <c r="E7" s="31">
        <f t="shared" si="1"/>
        <v>-1800000</v>
      </c>
      <c r="F7" s="31">
        <f t="shared" si="2"/>
        <v>2379859.07316116</v>
      </c>
      <c r="G7" s="33">
        <f t="shared" si="3"/>
        <v>1.32214392953398</v>
      </c>
      <c r="H7" s="33">
        <f t="shared" si="4"/>
        <v>0.0878998413909855</v>
      </c>
    </row>
    <row r="8" s="30" customFormat="1" spans="5:5">
      <c r="E8" s="42"/>
    </row>
    <row r="10" s="30" customFormat="1" spans="1:4">
      <c r="A10" s="40" t="s">
        <v>9</v>
      </c>
      <c r="B10" s="40"/>
      <c r="C10" s="40"/>
      <c r="D10" s="40"/>
    </row>
    <row r="11" s="30" customFormat="1" spans="1:4">
      <c r="A11" s="30" t="s">
        <v>1</v>
      </c>
      <c r="B11" s="30" t="s">
        <v>2</v>
      </c>
      <c r="C11" s="30" t="s">
        <v>10</v>
      </c>
      <c r="D11" s="30" t="s">
        <v>3</v>
      </c>
    </row>
    <row r="12" s="30" customFormat="1" spans="1:4">
      <c r="A12" s="42">
        <v>0.12</v>
      </c>
      <c r="B12" s="30">
        <v>30</v>
      </c>
      <c r="C12" s="31">
        <v>1009555.34</v>
      </c>
      <c r="D12" s="41">
        <f t="shared" ref="D12:D15" si="5">PMT(A12/12,B12*12,0,C12,1)</f>
        <v>-286.000000172381</v>
      </c>
    </row>
    <row r="13" s="30" customFormat="1" spans="1:4">
      <c r="A13" s="42">
        <v>0.12</v>
      </c>
      <c r="B13" s="30">
        <v>10</v>
      </c>
      <c r="C13" s="31">
        <v>859680</v>
      </c>
      <c r="D13" s="41">
        <f t="shared" si="5"/>
        <v>-3700.10939829072</v>
      </c>
    </row>
    <row r="14" s="30" customFormat="1" spans="1:4">
      <c r="A14" s="42">
        <v>0.12</v>
      </c>
      <c r="B14" s="30">
        <v>5</v>
      </c>
      <c r="C14" s="31">
        <v>90000</v>
      </c>
      <c r="D14" s="41">
        <f t="shared" si="5"/>
        <v>-1091.08939766451</v>
      </c>
    </row>
    <row r="15" s="30" customFormat="1" spans="1:4">
      <c r="A15" s="42">
        <v>0.12</v>
      </c>
      <c r="B15" s="30">
        <v>10</v>
      </c>
      <c r="C15" s="31">
        <v>232339.08</v>
      </c>
      <c r="D15" s="41">
        <f t="shared" si="5"/>
        <v>-1000.00001570145</v>
      </c>
    </row>
    <row r="18" s="30" customFormat="1" spans="1:7">
      <c r="A18" s="11" t="s">
        <v>11</v>
      </c>
      <c r="B18" s="11"/>
      <c r="C18" s="11"/>
      <c r="D18" s="11"/>
      <c r="E18" s="43"/>
      <c r="F18" s="43"/>
      <c r="G18" s="43"/>
    </row>
    <row r="19" s="30" customFormat="1" spans="1:7">
      <c r="A19" s="30" t="s">
        <v>12</v>
      </c>
      <c r="B19" s="30" t="s">
        <v>13</v>
      </c>
      <c r="C19" s="30" t="s">
        <v>14</v>
      </c>
      <c r="D19" s="30" t="s">
        <v>15</v>
      </c>
      <c r="E19" s="30" t="s">
        <v>16</v>
      </c>
      <c r="F19" s="30" t="s">
        <v>17</v>
      </c>
      <c r="G19" s="30" t="s">
        <v>18</v>
      </c>
    </row>
    <row r="20" s="30" customFormat="1" spans="2:6">
      <c r="B20" s="33">
        <v>0.0588</v>
      </c>
      <c r="C20" s="30">
        <v>25</v>
      </c>
      <c r="D20" s="31">
        <v>1200000</v>
      </c>
      <c r="E20" s="41">
        <f>PMT(B20/12,C20*12,D20)</f>
        <v>-7643.83225526711</v>
      </c>
      <c r="F20" s="31">
        <f>D20+E20*C20*12</f>
        <v>-1093149.67658013</v>
      </c>
    </row>
    <row r="21" s="30" customFormat="1" spans="2:6">
      <c r="B21" s="33">
        <v>0.054</v>
      </c>
      <c r="C21" s="30">
        <v>25</v>
      </c>
      <c r="D21" s="31">
        <v>1200000</v>
      </c>
      <c r="E21" s="41">
        <f t="shared" ref="E20:E25" si="6">PMT(B21/12,C21*12,D21)</f>
        <v>-7297.55900889849</v>
      </c>
      <c r="F21" s="31">
        <f t="shared" ref="F20:F25" si="7">D21+E21*C21*12</f>
        <v>-989267.702669547</v>
      </c>
    </row>
    <row r="22" s="30" customFormat="1" spans="1:7">
      <c r="A22" s="30" t="s">
        <v>19</v>
      </c>
      <c r="B22" s="33">
        <v>0.0325</v>
      </c>
      <c r="C22" s="30">
        <v>25</v>
      </c>
      <c r="D22" s="31">
        <v>1200000</v>
      </c>
      <c r="E22" s="41">
        <f t="shared" si="6"/>
        <v>-5847.79470408001</v>
      </c>
      <c r="F22" s="31">
        <f t="shared" si="7"/>
        <v>-554338.411224002</v>
      </c>
      <c r="G22" s="30" t="s">
        <v>20</v>
      </c>
    </row>
    <row r="23" s="30" customFormat="1" spans="1:7">
      <c r="A23" s="30" t="s">
        <v>19</v>
      </c>
      <c r="B23" s="33">
        <v>0.0325</v>
      </c>
      <c r="C23" s="30">
        <v>30</v>
      </c>
      <c r="D23" s="31">
        <v>300000</v>
      </c>
      <c r="E23" s="41">
        <f t="shared" si="6"/>
        <v>-1305.61895721715</v>
      </c>
      <c r="F23" s="31">
        <f t="shared" si="7"/>
        <v>-170022.824598173</v>
      </c>
      <c r="G23" s="42"/>
    </row>
    <row r="24" s="30" customFormat="1" spans="1:6">
      <c r="A24" s="30" t="s">
        <v>19</v>
      </c>
      <c r="B24" s="33">
        <v>0.0325</v>
      </c>
      <c r="C24" s="30">
        <v>30</v>
      </c>
      <c r="D24" s="31">
        <v>290000</v>
      </c>
      <c r="E24" s="41">
        <f t="shared" si="6"/>
        <v>-1262.09832530991</v>
      </c>
      <c r="F24" s="31">
        <f t="shared" si="7"/>
        <v>-164355.397111567</v>
      </c>
    </row>
    <row r="25" spans="1:7">
      <c r="A25" s="30" t="s">
        <v>21</v>
      </c>
      <c r="B25" s="33">
        <v>0.0495</v>
      </c>
      <c r="C25" s="30">
        <v>25</v>
      </c>
      <c r="D25" s="31">
        <v>539000</v>
      </c>
      <c r="E25" s="41">
        <f t="shared" si="6"/>
        <v>-3135.25851487704</v>
      </c>
      <c r="F25" s="31">
        <f t="shared" si="7"/>
        <v>-401577.554463112</v>
      </c>
      <c r="G25" s="30" t="s">
        <v>22</v>
      </c>
    </row>
    <row r="26" s="30" customFormat="1" spans="1:4">
      <c r="A26" s="40" t="s">
        <v>23</v>
      </c>
      <c r="B26" s="40"/>
      <c r="C26" s="40"/>
      <c r="D26" s="40"/>
    </row>
    <row r="27" s="30" customFormat="1" spans="1:4">
      <c r="A27" s="30" t="s">
        <v>24</v>
      </c>
      <c r="B27" s="30" t="s">
        <v>25</v>
      </c>
      <c r="C27" s="30" t="s">
        <v>26</v>
      </c>
      <c r="D27" s="30" t="s">
        <v>27</v>
      </c>
    </row>
    <row r="28" s="30" customFormat="1" spans="1:4">
      <c r="A28" s="31">
        <v>1200000</v>
      </c>
      <c r="B28" s="42">
        <v>0.06</v>
      </c>
      <c r="C28" s="31">
        <f>(A28*B28)</f>
        <v>72000</v>
      </c>
      <c r="D28" s="31">
        <f>(C28/12)</f>
        <v>6000</v>
      </c>
    </row>
    <row r="30" s="30" customFormat="1" spans="1:4">
      <c r="A30" s="40" t="s">
        <v>11</v>
      </c>
      <c r="B30" s="40"/>
      <c r="C30" s="40"/>
      <c r="D30" s="40"/>
    </row>
    <row r="31" s="30" customFormat="1" spans="1:4">
      <c r="A31" s="30" t="s">
        <v>13</v>
      </c>
      <c r="B31" s="30" t="s">
        <v>14</v>
      </c>
      <c r="C31" s="30" t="s">
        <v>16</v>
      </c>
      <c r="D31" s="30" t="s">
        <v>28</v>
      </c>
    </row>
    <row r="32" s="30" customFormat="1" spans="1:4">
      <c r="A32" s="33">
        <v>0.0325</v>
      </c>
      <c r="B32" s="30">
        <v>25</v>
      </c>
      <c r="C32" s="31">
        <v>-5847.79</v>
      </c>
      <c r="D32" s="41">
        <f>C32*12*B32</f>
        <v>-1754337</v>
      </c>
    </row>
    <row r="33" s="30" customFormat="1" spans="1:4">
      <c r="A33" s="33">
        <v>0.0588</v>
      </c>
      <c r="B33" s="30">
        <v>25</v>
      </c>
      <c r="C33" s="31">
        <v>-7643.83225526711</v>
      </c>
      <c r="D33" s="41">
        <f>C33*12*B33</f>
        <v>-2293149.67658013</v>
      </c>
    </row>
    <row r="35" s="30" customFormat="1" spans="1:5">
      <c r="A35" s="40" t="s">
        <v>29</v>
      </c>
      <c r="B35" s="40"/>
      <c r="C35" s="40"/>
      <c r="D35" s="40"/>
      <c r="E35" s="40"/>
    </row>
    <row r="36" s="30" customFormat="1" spans="1:5">
      <c r="A36" s="30" t="s">
        <v>30</v>
      </c>
      <c r="B36" s="30" t="s">
        <v>31</v>
      </c>
      <c r="C36" s="30" t="s">
        <v>32</v>
      </c>
      <c r="D36" s="30" t="s">
        <v>33</v>
      </c>
      <c r="E36" s="30" t="s">
        <v>34</v>
      </c>
    </row>
    <row r="37" s="30" customFormat="1" spans="1:5">
      <c r="A37" s="31">
        <v>100000</v>
      </c>
      <c r="B37" s="31">
        <v>330990</v>
      </c>
      <c r="C37" s="30">
        <v>7</v>
      </c>
      <c r="D37" s="33">
        <f>((B37/A37)^(1/C37)-1)</f>
        <v>0.186476846389716</v>
      </c>
      <c r="E37" s="33">
        <f>B37-A37</f>
        <v>230990</v>
      </c>
    </row>
    <row r="38" s="30" customFormat="1" spans="1:5">
      <c r="A38" s="31">
        <v>1.5489</v>
      </c>
      <c r="B38" s="31">
        <v>1.577</v>
      </c>
      <c r="C38" s="30">
        <v>0.2</v>
      </c>
      <c r="D38" s="33">
        <f>((B38/A38)^(1/C38)-1)</f>
        <v>0.0940610775881454</v>
      </c>
      <c r="E38" s="33">
        <f>B38-A38</f>
        <v>0.0281</v>
      </c>
    </row>
    <row r="41" spans="1:1">
      <c r="A41" s="33">
        <f>(20/15)^(1/10)-1</f>
        <v>0.0291860089647606</v>
      </c>
    </row>
    <row r="44" spans="1:2">
      <c r="A44" s="30" t="s">
        <v>35</v>
      </c>
      <c r="B44" s="30" t="s">
        <v>36</v>
      </c>
    </row>
    <row r="45" spans="1:2">
      <c r="A45" s="30" t="s">
        <v>37</v>
      </c>
      <c r="B45" s="30">
        <v>34.24</v>
      </c>
    </row>
    <row r="46" spans="1:3">
      <c r="A46" s="30" t="s">
        <v>38</v>
      </c>
      <c r="B46" s="30">
        <v>37.51</v>
      </c>
      <c r="C46" s="33">
        <f>(B46/B45)^(1/3)-1</f>
        <v>0.0308712697189353</v>
      </c>
    </row>
    <row r="47" spans="1:3">
      <c r="A47" s="30" t="s">
        <v>39</v>
      </c>
      <c r="B47" s="30">
        <v>27.82</v>
      </c>
      <c r="C47" s="33">
        <f>(B47/B45)^(1/3)-1</f>
        <v>-0.0668722107956879</v>
      </c>
    </row>
    <row r="48" spans="1:3">
      <c r="A48" s="30" t="s">
        <v>40</v>
      </c>
      <c r="B48" s="30">
        <v>21.21</v>
      </c>
      <c r="C48" s="33">
        <f>(B48/B45)^(1/3)-1</f>
        <v>-0.14754989059777</v>
      </c>
    </row>
    <row r="53" spans="1:2">
      <c r="A53" s="30">
        <f>(18000/6000)^(1/8)-1</f>
        <v>0.147202690439877</v>
      </c>
      <c r="B53" s="30" t="s">
        <v>41</v>
      </c>
    </row>
    <row r="55" spans="2:2">
      <c r="B55" s="30">
        <f>1-(1-0.25)^10</f>
        <v>0.943686485290527</v>
      </c>
    </row>
  </sheetData>
  <mergeCells count="5">
    <mergeCell ref="A1:G1"/>
    <mergeCell ref="A10:D10"/>
    <mergeCell ref="A18:D18"/>
    <mergeCell ref="A26:D26"/>
    <mergeCell ref="A30:D30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zoomScale="73" zoomScaleNormal="73" workbookViewId="0">
      <selection activeCell="J25" sqref="J25"/>
    </sheetView>
  </sheetViews>
  <sheetFormatPr defaultColWidth="9.07142857142857" defaultRowHeight="17.6"/>
  <cols>
    <col min="1" max="1" width="15.3214285714286" style="30" customWidth="1"/>
    <col min="2" max="2" width="14.4285714285714" style="30" customWidth="1"/>
    <col min="3" max="3" width="20.3928571428571" style="30" customWidth="1"/>
    <col min="4" max="4" width="9.07142857142857" style="30"/>
    <col min="5" max="5" width="10.6607142857143" style="30" customWidth="1"/>
    <col min="6" max="6" width="16.5" style="30"/>
    <col min="7" max="7" width="22.9196428571429" style="30" customWidth="1"/>
    <col min="8" max="8" width="11.1517857142857" style="30" customWidth="1"/>
    <col min="9" max="9" width="9.91071428571429" style="30" customWidth="1"/>
    <col min="10" max="10" width="16.5" style="30"/>
    <col min="11" max="11" width="15.125" style="30" customWidth="1"/>
    <col min="12" max="12" width="9.07142857142857" style="30"/>
    <col min="13" max="13" width="14.2946428571429" style="27" customWidth="1"/>
    <col min="14" max="14" width="18.4464285714286" style="31" customWidth="1"/>
    <col min="15" max="15" width="17.5267857142857" style="31" customWidth="1"/>
    <col min="16" max="16" width="17.8303571428571" style="31" customWidth="1"/>
    <col min="17" max="17" width="9.07142857142857" style="30"/>
    <col min="18" max="18" width="15.8035714285714" style="30" customWidth="1"/>
    <col min="19" max="19" width="16.9464285714286" style="30" customWidth="1"/>
    <col min="20" max="21" width="9.07142857142857" style="30"/>
    <col min="22" max="22" width="18.2410714285714" style="30" customWidth="1"/>
    <col min="23" max="23" width="19.2946428571429" style="30" customWidth="1"/>
    <col min="24" max="25" width="9.07142857142857" style="30"/>
    <col min="26" max="26" width="20.9017857142857" style="30" customWidth="1"/>
    <col min="27" max="27" width="19.9107142857143" style="30" customWidth="1"/>
    <col min="28" max="16384" width="9.07142857142857" style="30"/>
  </cols>
  <sheetData>
    <row r="1" s="30" customFormat="1" ht="48" customHeight="1" spans="1:27">
      <c r="A1" s="38" t="s">
        <v>42</v>
      </c>
      <c r="B1" s="38"/>
      <c r="C1" s="38"/>
      <c r="E1" s="30" t="s">
        <v>43</v>
      </c>
      <c r="I1" s="30" t="s">
        <v>44</v>
      </c>
      <c r="M1" s="15" t="s">
        <v>45</v>
      </c>
      <c r="N1" s="15"/>
      <c r="O1" s="15"/>
      <c r="P1" s="15"/>
      <c r="Q1"/>
      <c r="R1"/>
      <c r="S1"/>
      <c r="T1"/>
      <c r="U1"/>
      <c r="V1"/>
      <c r="W1"/>
      <c r="X1"/>
      <c r="Y1"/>
      <c r="Z1"/>
      <c r="AA1"/>
    </row>
    <row r="2" s="30" customFormat="1" spans="1:27">
      <c r="A2" s="30" t="s">
        <v>46</v>
      </c>
      <c r="B2" s="30" t="s">
        <v>47</v>
      </c>
      <c r="C2" s="31">
        <v>107800</v>
      </c>
      <c r="E2" s="30" t="s">
        <v>46</v>
      </c>
      <c r="F2" s="30" t="s">
        <v>47</v>
      </c>
      <c r="G2" s="31">
        <v>20000</v>
      </c>
      <c r="I2" s="30" t="s">
        <v>46</v>
      </c>
      <c r="J2" s="30" t="s">
        <v>47</v>
      </c>
      <c r="K2" s="31">
        <v>74000</v>
      </c>
      <c r="M2" s="21" t="s">
        <v>46</v>
      </c>
      <c r="N2" s="13">
        <v>10000</v>
      </c>
      <c r="O2" s="19" t="s">
        <v>46</v>
      </c>
      <c r="P2" s="13">
        <v>10000</v>
      </c>
      <c r="Q2"/>
      <c r="R2"/>
      <c r="S2"/>
      <c r="T2"/>
      <c r="U2"/>
      <c r="V2"/>
      <c r="W2"/>
      <c r="X2"/>
      <c r="Y2"/>
      <c r="Z2"/>
      <c r="AA2"/>
    </row>
    <row r="3" s="30" customFormat="1" spans="1:27">
      <c r="A3" s="30">
        <v>1</v>
      </c>
      <c r="B3" s="30" t="s">
        <v>48</v>
      </c>
      <c r="C3" s="31">
        <v>-679.14</v>
      </c>
      <c r="E3" s="30">
        <v>1</v>
      </c>
      <c r="F3" s="30" t="s">
        <v>48</v>
      </c>
      <c r="G3" s="31">
        <v>-3433.33</v>
      </c>
      <c r="I3" s="30">
        <v>1</v>
      </c>
      <c r="J3" s="30" t="s">
        <v>48</v>
      </c>
      <c r="K3" s="31">
        <v>-6499.67</v>
      </c>
      <c r="M3" s="21">
        <v>1</v>
      </c>
      <c r="N3" s="13">
        <v>-855.33</v>
      </c>
      <c r="O3">
        <v>1</v>
      </c>
      <c r="P3" s="13">
        <v>-438.66</v>
      </c>
      <c r="Q3"/>
      <c r="R3"/>
      <c r="S3"/>
      <c r="T3"/>
      <c r="U3"/>
      <c r="V3"/>
      <c r="W3"/>
      <c r="X3"/>
      <c r="Y3"/>
      <c r="Z3"/>
      <c r="AA3"/>
    </row>
    <row r="4" s="30" customFormat="1" spans="1:27">
      <c r="A4" s="30">
        <v>2</v>
      </c>
      <c r="B4" s="30" t="s">
        <v>48</v>
      </c>
      <c r="C4" s="31">
        <v>-727.65</v>
      </c>
      <c r="E4" s="30">
        <v>2</v>
      </c>
      <c r="F4" s="30" t="s">
        <v>48</v>
      </c>
      <c r="G4" s="31">
        <v>-3433.33</v>
      </c>
      <c r="I4" s="30">
        <v>2</v>
      </c>
      <c r="J4" s="30" t="s">
        <v>48</v>
      </c>
      <c r="K4" s="31">
        <v>-6499.67</v>
      </c>
      <c r="M4" s="21">
        <v>2</v>
      </c>
      <c r="N4" s="13">
        <v>-855.33</v>
      </c>
      <c r="O4">
        <v>2</v>
      </c>
      <c r="P4" s="13">
        <v>-438.66</v>
      </c>
      <c r="Q4"/>
      <c r="R4"/>
      <c r="S4"/>
      <c r="T4"/>
      <c r="U4"/>
      <c r="V4"/>
      <c r="W4"/>
      <c r="X4"/>
      <c r="Y4"/>
      <c r="Z4"/>
      <c r="AA4"/>
    </row>
    <row r="5" s="30" customFormat="1" spans="1:27">
      <c r="A5" s="30">
        <v>3</v>
      </c>
      <c r="B5" s="30" t="s">
        <v>48</v>
      </c>
      <c r="C5" s="31">
        <v>-727.65</v>
      </c>
      <c r="E5" s="30">
        <v>3</v>
      </c>
      <c r="F5" s="30" t="s">
        <v>48</v>
      </c>
      <c r="G5" s="31">
        <v>-3433.33</v>
      </c>
      <c r="I5" s="30">
        <v>3</v>
      </c>
      <c r="J5" s="30" t="s">
        <v>48</v>
      </c>
      <c r="K5" s="31">
        <v>-6499.67</v>
      </c>
      <c r="M5" s="21">
        <v>3</v>
      </c>
      <c r="N5" s="13">
        <v>-855.33</v>
      </c>
      <c r="O5">
        <v>3</v>
      </c>
      <c r="P5" s="13">
        <v>-438.66</v>
      </c>
      <c r="Q5"/>
      <c r="R5"/>
      <c r="S5"/>
      <c r="T5"/>
      <c r="U5"/>
      <c r="V5"/>
      <c r="W5"/>
      <c r="X5"/>
      <c r="Y5"/>
      <c r="Z5"/>
      <c r="AA5"/>
    </row>
    <row r="6" s="30" customFormat="1" spans="1:27">
      <c r="A6" s="30">
        <v>4</v>
      </c>
      <c r="B6" s="30" t="s">
        <v>48</v>
      </c>
      <c r="C6" s="31">
        <v>-727.65</v>
      </c>
      <c r="E6" s="30">
        <v>4</v>
      </c>
      <c r="F6" s="30" t="s">
        <v>48</v>
      </c>
      <c r="G6" s="31">
        <v>-3433.33</v>
      </c>
      <c r="I6" s="30">
        <v>4</v>
      </c>
      <c r="J6" s="30" t="s">
        <v>48</v>
      </c>
      <c r="K6" s="31">
        <v>-6499.67</v>
      </c>
      <c r="M6" s="21">
        <v>4</v>
      </c>
      <c r="N6" s="13">
        <v>-855.33</v>
      </c>
      <c r="O6">
        <v>4</v>
      </c>
      <c r="P6" s="13">
        <v>-438.66</v>
      </c>
      <c r="Q6"/>
      <c r="R6"/>
      <c r="S6"/>
      <c r="T6"/>
      <c r="U6"/>
      <c r="V6"/>
      <c r="W6"/>
      <c r="X6"/>
      <c r="Y6"/>
      <c r="Z6"/>
      <c r="AA6"/>
    </row>
    <row r="7" s="30" customFormat="1" spans="1:27">
      <c r="A7" s="30">
        <v>5</v>
      </c>
      <c r="B7" s="30" t="s">
        <v>48</v>
      </c>
      <c r="C7" s="31">
        <v>-727.65</v>
      </c>
      <c r="E7" s="30">
        <v>5</v>
      </c>
      <c r="F7" s="30" t="s">
        <v>48</v>
      </c>
      <c r="G7" s="31">
        <v>-3433.33</v>
      </c>
      <c r="I7" s="30">
        <v>5</v>
      </c>
      <c r="J7" s="30" t="s">
        <v>48</v>
      </c>
      <c r="K7" s="31">
        <v>-6499.67</v>
      </c>
      <c r="M7" s="21">
        <v>5</v>
      </c>
      <c r="N7" s="13">
        <v>-855.33</v>
      </c>
      <c r="O7">
        <v>5</v>
      </c>
      <c r="P7" s="13">
        <v>-438.66</v>
      </c>
      <c r="Q7"/>
      <c r="R7"/>
      <c r="S7"/>
      <c r="T7"/>
      <c r="U7"/>
      <c r="V7"/>
      <c r="W7"/>
      <c r="X7"/>
      <c r="Y7"/>
      <c r="Z7"/>
      <c r="AA7"/>
    </row>
    <row r="8" s="30" customFormat="1" spans="1:27">
      <c r="A8" s="30">
        <v>6</v>
      </c>
      <c r="B8" s="30" t="s">
        <v>48</v>
      </c>
      <c r="C8" s="31">
        <v>-727.65</v>
      </c>
      <c r="E8" s="30">
        <v>6</v>
      </c>
      <c r="F8" s="30" t="s">
        <v>48</v>
      </c>
      <c r="G8" s="31">
        <v>-3433.33</v>
      </c>
      <c r="I8" s="30">
        <v>6</v>
      </c>
      <c r="J8" s="30" t="s">
        <v>48</v>
      </c>
      <c r="K8" s="31">
        <v>-6499.67</v>
      </c>
      <c r="M8" s="21">
        <v>6</v>
      </c>
      <c r="N8" s="13">
        <v>-855.33</v>
      </c>
      <c r="O8">
        <v>6</v>
      </c>
      <c r="P8" s="13">
        <v>-438.66</v>
      </c>
      <c r="Q8"/>
      <c r="R8"/>
      <c r="S8"/>
      <c r="T8"/>
      <c r="U8"/>
      <c r="V8"/>
      <c r="W8"/>
      <c r="X8"/>
      <c r="Y8"/>
      <c r="Z8"/>
      <c r="AA8"/>
    </row>
    <row r="9" s="30" customFormat="1" spans="1:27">
      <c r="A9" s="30">
        <v>7</v>
      </c>
      <c r="B9" s="30" t="s">
        <v>48</v>
      </c>
      <c r="C9" s="31">
        <v>-727.65</v>
      </c>
      <c r="F9" s="30" t="s">
        <v>49</v>
      </c>
      <c r="G9" s="33">
        <f>IRR(G2:G8)</f>
        <v>0.00851103617385074</v>
      </c>
      <c r="I9" s="30">
        <v>7</v>
      </c>
      <c r="J9" s="30" t="s">
        <v>48</v>
      </c>
      <c r="K9" s="31">
        <v>-6499.67</v>
      </c>
      <c r="M9" s="21">
        <v>7</v>
      </c>
      <c r="N9" s="13">
        <v>-855.33</v>
      </c>
      <c r="O9">
        <v>7</v>
      </c>
      <c r="P9" s="13">
        <v>-438.66</v>
      </c>
      <c r="Q9"/>
      <c r="R9"/>
      <c r="S9"/>
      <c r="T9"/>
      <c r="U9"/>
      <c r="V9"/>
      <c r="W9"/>
      <c r="X9"/>
      <c r="Y9"/>
      <c r="Z9"/>
      <c r="AA9"/>
    </row>
    <row r="10" s="30" customFormat="1" spans="1:27">
      <c r="A10" s="30">
        <v>8</v>
      </c>
      <c r="B10" s="30" t="s">
        <v>48</v>
      </c>
      <c r="C10" s="31">
        <v>-727.65</v>
      </c>
      <c r="F10" s="30" t="s">
        <v>50</v>
      </c>
      <c r="G10" s="39">
        <f>(G9)*6</f>
        <v>0.0510662170431044</v>
      </c>
      <c r="I10" s="30">
        <v>8</v>
      </c>
      <c r="J10" s="30" t="s">
        <v>48</v>
      </c>
      <c r="K10" s="31">
        <v>-6499.67</v>
      </c>
      <c r="M10" s="21">
        <v>8</v>
      </c>
      <c r="N10" s="13">
        <v>-855.33</v>
      </c>
      <c r="O10">
        <v>8</v>
      </c>
      <c r="P10" s="13">
        <v>-438.66</v>
      </c>
      <c r="Q10"/>
      <c r="R10"/>
      <c r="S10"/>
      <c r="T10"/>
      <c r="U10"/>
      <c r="V10"/>
      <c r="W10"/>
      <c r="X10"/>
      <c r="Y10"/>
      <c r="Z10"/>
      <c r="AA10"/>
    </row>
    <row r="11" s="30" customFormat="1" spans="1:27">
      <c r="A11" s="30">
        <v>9</v>
      </c>
      <c r="B11" s="30" t="s">
        <v>48</v>
      </c>
      <c r="C11" s="31">
        <v>-727.65</v>
      </c>
      <c r="F11" s="30" t="s">
        <v>17</v>
      </c>
      <c r="G11" s="30">
        <f>SUM(G2:G8)</f>
        <v>-599.980000000001</v>
      </c>
      <c r="I11" s="30">
        <v>9</v>
      </c>
      <c r="J11" s="30" t="s">
        <v>48</v>
      </c>
      <c r="K11" s="31">
        <v>-6499.67</v>
      </c>
      <c r="M11" s="21">
        <v>9</v>
      </c>
      <c r="N11" s="13">
        <v>-855.33</v>
      </c>
      <c r="O11">
        <v>9</v>
      </c>
      <c r="P11" s="13">
        <v>-438.66</v>
      </c>
      <c r="Q11"/>
      <c r="R11"/>
      <c r="S11"/>
      <c r="T11"/>
      <c r="U11"/>
      <c r="V11"/>
      <c r="W11"/>
      <c r="X11"/>
      <c r="Y11"/>
      <c r="Z11"/>
      <c r="AA11"/>
    </row>
    <row r="12" s="30" customFormat="1" spans="1:27">
      <c r="A12" s="30">
        <v>10</v>
      </c>
      <c r="B12" s="30" t="s">
        <v>48</v>
      </c>
      <c r="C12" s="31">
        <v>-727.65</v>
      </c>
      <c r="I12" s="30">
        <v>10</v>
      </c>
      <c r="J12" s="30" t="s">
        <v>48</v>
      </c>
      <c r="K12" s="31">
        <v>-6499.67</v>
      </c>
      <c r="M12" s="21">
        <v>10</v>
      </c>
      <c r="N12" s="13">
        <v>-855.33</v>
      </c>
      <c r="O12">
        <v>10</v>
      </c>
      <c r="P12" s="13">
        <v>-438.66</v>
      </c>
      <c r="Q12"/>
      <c r="R12"/>
      <c r="S12"/>
      <c r="T12"/>
      <c r="U12"/>
      <c r="V12"/>
      <c r="W12"/>
      <c r="X12"/>
      <c r="Y12"/>
      <c r="Z12"/>
      <c r="AA12"/>
    </row>
    <row r="13" s="30" customFormat="1" spans="1:27">
      <c r="A13" s="30">
        <v>11</v>
      </c>
      <c r="B13" s="30" t="s">
        <v>48</v>
      </c>
      <c r="C13" s="31">
        <v>-727.65</v>
      </c>
      <c r="I13" s="30">
        <v>11</v>
      </c>
      <c r="J13" s="30" t="s">
        <v>48</v>
      </c>
      <c r="K13" s="31">
        <v>-6499.67</v>
      </c>
      <c r="M13" s="21">
        <v>11</v>
      </c>
      <c r="N13" s="13">
        <v>-855.33</v>
      </c>
      <c r="O13">
        <v>11</v>
      </c>
      <c r="P13" s="13">
        <v>-438.66</v>
      </c>
      <c r="Q13"/>
      <c r="R13"/>
      <c r="S13"/>
      <c r="T13"/>
      <c r="U13"/>
      <c r="V13"/>
      <c r="W13"/>
      <c r="X13"/>
      <c r="Y13"/>
      <c r="Z13"/>
      <c r="AA13"/>
    </row>
    <row r="14" s="30" customFormat="1" spans="1:27">
      <c r="A14" s="30">
        <v>12</v>
      </c>
      <c r="B14" s="30" t="s">
        <v>48</v>
      </c>
      <c r="C14" s="31">
        <v>-36660.98</v>
      </c>
      <c r="I14" s="30">
        <v>12</v>
      </c>
      <c r="J14" s="30" t="s">
        <v>48</v>
      </c>
      <c r="K14" s="31">
        <v>-6499.67</v>
      </c>
      <c r="M14" s="21">
        <v>12</v>
      </c>
      <c r="N14" s="13">
        <v>-855.33</v>
      </c>
      <c r="O14">
        <v>12</v>
      </c>
      <c r="P14" s="13">
        <v>-438.66</v>
      </c>
      <c r="Q14"/>
      <c r="R14"/>
      <c r="S14"/>
      <c r="T14"/>
      <c r="U14"/>
      <c r="V14"/>
      <c r="W14"/>
      <c r="X14"/>
      <c r="Y14"/>
      <c r="Z14"/>
      <c r="AA14"/>
    </row>
    <row r="15" s="30" customFormat="1" spans="1:27">
      <c r="A15" s="30">
        <v>13</v>
      </c>
      <c r="B15" s="30" t="s">
        <v>48</v>
      </c>
      <c r="C15" s="31">
        <v>-485.1</v>
      </c>
      <c r="J15" s="30" t="s">
        <v>49</v>
      </c>
      <c r="K15" s="33">
        <f>IRR(K2:K14)</f>
        <v>0.00818545861118514</v>
      </c>
      <c r="M15" s="21" t="s">
        <v>51</v>
      </c>
      <c r="N15" s="12">
        <f>IRR(N2:N14)</f>
        <v>0.00403119153589704</v>
      </c>
      <c r="O15">
        <v>13</v>
      </c>
      <c r="P15" s="13">
        <v>-438.66</v>
      </c>
      <c r="Q15"/>
      <c r="R15"/>
      <c r="S15"/>
      <c r="T15"/>
      <c r="U15"/>
      <c r="V15"/>
      <c r="W15"/>
      <c r="X15"/>
      <c r="Y15"/>
      <c r="Z15"/>
      <c r="AA15"/>
    </row>
    <row r="16" s="30" customFormat="1" spans="1:27">
      <c r="A16" s="30">
        <v>14</v>
      </c>
      <c r="B16" s="30" t="s">
        <v>48</v>
      </c>
      <c r="C16" s="31">
        <v>-485.1</v>
      </c>
      <c r="J16" s="30" t="s">
        <v>50</v>
      </c>
      <c r="K16" s="33">
        <f>(K15)*12</f>
        <v>0.0982255033342217</v>
      </c>
      <c r="M16" s="21" t="s">
        <v>50</v>
      </c>
      <c r="N16" s="12">
        <f>(N15)*12</f>
        <v>0.0483742984307645</v>
      </c>
      <c r="O16">
        <v>14</v>
      </c>
      <c r="P16" s="13">
        <v>-438.66</v>
      </c>
      <c r="Q16"/>
      <c r="R16"/>
      <c r="S16"/>
      <c r="T16"/>
      <c r="U16"/>
      <c r="V16"/>
      <c r="W16"/>
      <c r="X16"/>
      <c r="Y16"/>
      <c r="Z16"/>
      <c r="AA16"/>
    </row>
    <row r="17" s="30" customFormat="1" spans="1:27">
      <c r="A17" s="30">
        <v>15</v>
      </c>
      <c r="B17" s="30" t="s">
        <v>48</v>
      </c>
      <c r="C17" s="31">
        <v>-485.1</v>
      </c>
      <c r="J17" s="30" t="s">
        <v>17</v>
      </c>
      <c r="K17" s="30">
        <f>SUM(K2:K14)</f>
        <v>-3996.03999999999</v>
      </c>
      <c r="M17" s="21" t="s">
        <v>17</v>
      </c>
      <c r="N17" s="13">
        <f>SUM(N2:N14)</f>
        <v>-263.959999999999</v>
      </c>
      <c r="O17">
        <v>15</v>
      </c>
      <c r="P17" s="13">
        <v>-438.66</v>
      </c>
      <c r="Q17"/>
      <c r="R17"/>
      <c r="S17"/>
      <c r="T17"/>
      <c r="U17"/>
      <c r="V17"/>
      <c r="W17"/>
      <c r="X17"/>
      <c r="Y17"/>
      <c r="Z17"/>
      <c r="AA17"/>
    </row>
    <row r="18" s="30" customFormat="1" spans="1:27">
      <c r="A18" s="30">
        <v>16</v>
      </c>
      <c r="B18" s="30" t="s">
        <v>48</v>
      </c>
      <c r="C18" s="31">
        <v>-485.1</v>
      </c>
      <c r="M18" s="21"/>
      <c r="N18" s="13"/>
      <c r="O18">
        <v>16</v>
      </c>
      <c r="P18" s="13">
        <v>-438.66</v>
      </c>
      <c r="Q18"/>
      <c r="R18"/>
      <c r="S18"/>
      <c r="T18"/>
      <c r="U18"/>
      <c r="V18"/>
      <c r="W18"/>
      <c r="X18"/>
      <c r="Y18"/>
      <c r="Z18"/>
      <c r="AA18"/>
    </row>
    <row r="19" s="30" customFormat="1" spans="1:27">
      <c r="A19" s="30">
        <v>17</v>
      </c>
      <c r="B19" s="30" t="s">
        <v>48</v>
      </c>
      <c r="C19" s="31">
        <v>-485.1</v>
      </c>
      <c r="M19" s="21"/>
      <c r="N19" s="13"/>
      <c r="O19">
        <v>17</v>
      </c>
      <c r="P19" s="13">
        <v>-438.66</v>
      </c>
      <c r="Q19"/>
      <c r="R19"/>
      <c r="S19"/>
      <c r="T19"/>
      <c r="U19"/>
      <c r="V19"/>
      <c r="W19"/>
      <c r="X19"/>
      <c r="Y19"/>
      <c r="Z19"/>
      <c r="AA19"/>
    </row>
    <row r="20" s="30" customFormat="1" spans="1:27">
      <c r="A20" s="30">
        <v>18</v>
      </c>
      <c r="B20" s="30" t="s">
        <v>48</v>
      </c>
      <c r="C20" s="31">
        <v>-485.1</v>
      </c>
      <c r="M20" s="21"/>
      <c r="N20" s="13"/>
      <c r="O20">
        <v>18</v>
      </c>
      <c r="P20" s="13">
        <v>-438.66</v>
      </c>
      <c r="Q20"/>
      <c r="R20"/>
      <c r="S20"/>
      <c r="T20"/>
      <c r="U20"/>
      <c r="V20"/>
      <c r="W20"/>
      <c r="X20"/>
      <c r="Y20"/>
      <c r="Z20"/>
      <c r="AA20"/>
    </row>
    <row r="21" s="30" customFormat="1" spans="1:27">
      <c r="A21" s="30">
        <v>19</v>
      </c>
      <c r="B21" s="30" t="s">
        <v>48</v>
      </c>
      <c r="C21" s="31">
        <v>-485.1</v>
      </c>
      <c r="M21" s="21"/>
      <c r="N21" s="13"/>
      <c r="O21">
        <v>19</v>
      </c>
      <c r="P21" s="13">
        <v>-438.66</v>
      </c>
      <c r="Q21"/>
      <c r="R21"/>
      <c r="S21"/>
      <c r="T21"/>
      <c r="U21"/>
      <c r="V21"/>
      <c r="W21"/>
      <c r="X21"/>
      <c r="Y21"/>
      <c r="Z21"/>
      <c r="AA21"/>
    </row>
    <row r="22" s="30" customFormat="1" spans="1:27">
      <c r="A22" s="30">
        <v>20</v>
      </c>
      <c r="B22" s="30" t="s">
        <v>48</v>
      </c>
      <c r="C22" s="31">
        <v>-485.1</v>
      </c>
      <c r="M22" s="21"/>
      <c r="N22" s="13"/>
      <c r="O22">
        <v>20</v>
      </c>
      <c r="P22" s="13">
        <v>-438.66</v>
      </c>
      <c r="Q22"/>
      <c r="R22"/>
      <c r="S22"/>
      <c r="T22"/>
      <c r="U22"/>
      <c r="V22"/>
      <c r="W22"/>
      <c r="X22"/>
      <c r="Y22"/>
      <c r="Z22"/>
      <c r="AA22"/>
    </row>
    <row r="23" s="30" customFormat="1" spans="1:27">
      <c r="A23" s="30">
        <v>21</v>
      </c>
      <c r="B23" s="30" t="s">
        <v>48</v>
      </c>
      <c r="C23" s="31">
        <v>-485.1</v>
      </c>
      <c r="M23" s="21"/>
      <c r="N23" s="13"/>
      <c r="O23">
        <v>21</v>
      </c>
      <c r="P23" s="13">
        <v>-438.66</v>
      </c>
      <c r="Q23"/>
      <c r="R23"/>
      <c r="S23"/>
      <c r="T23"/>
      <c r="U23"/>
      <c r="V23"/>
      <c r="W23"/>
      <c r="X23"/>
      <c r="Y23"/>
      <c r="Z23"/>
      <c r="AA23"/>
    </row>
    <row r="24" s="30" customFormat="1" spans="1:27">
      <c r="A24" s="30">
        <v>22</v>
      </c>
      <c r="B24" s="30" t="s">
        <v>48</v>
      </c>
      <c r="C24" s="31">
        <v>-485.1</v>
      </c>
      <c r="M24" s="21"/>
      <c r="N24" s="13"/>
      <c r="O24">
        <v>22</v>
      </c>
      <c r="P24" s="13">
        <v>-438.66</v>
      </c>
      <c r="Q24"/>
      <c r="R24"/>
      <c r="S24"/>
      <c r="T24"/>
      <c r="U24"/>
      <c r="V24"/>
      <c r="W24"/>
      <c r="X24"/>
      <c r="Y24"/>
      <c r="Z24"/>
      <c r="AA24"/>
    </row>
    <row r="25" s="30" customFormat="1" spans="1:27">
      <c r="A25" s="30">
        <v>23</v>
      </c>
      <c r="B25" s="30" t="s">
        <v>48</v>
      </c>
      <c r="C25" s="31">
        <v>-485.1</v>
      </c>
      <c r="M25" s="21"/>
      <c r="N25" s="13"/>
      <c r="O25">
        <v>23</v>
      </c>
      <c r="P25" s="13">
        <v>-438.66</v>
      </c>
      <c r="Q25"/>
      <c r="R25"/>
      <c r="S25"/>
      <c r="T25"/>
      <c r="U25"/>
      <c r="V25"/>
      <c r="W25"/>
      <c r="X25"/>
      <c r="Y25"/>
      <c r="Z25"/>
      <c r="AA25"/>
    </row>
    <row r="26" s="30" customFormat="1" spans="1:27">
      <c r="A26" s="30">
        <v>24</v>
      </c>
      <c r="B26" s="30" t="s">
        <v>48</v>
      </c>
      <c r="C26" s="31">
        <v>-36418.43</v>
      </c>
      <c r="M26" s="21"/>
      <c r="N26" s="13"/>
      <c r="O26">
        <v>24</v>
      </c>
      <c r="P26" s="13">
        <v>-438.66</v>
      </c>
      <c r="Q26"/>
      <c r="R26"/>
      <c r="S26"/>
      <c r="T26"/>
      <c r="U26"/>
      <c r="V26"/>
      <c r="W26"/>
      <c r="X26"/>
      <c r="Y26"/>
      <c r="Z26"/>
      <c r="AA26"/>
    </row>
    <row r="27" s="30" customFormat="1" spans="1:27">
      <c r="A27" s="30">
        <v>25</v>
      </c>
      <c r="B27" s="30" t="s">
        <v>48</v>
      </c>
      <c r="C27" s="31">
        <v>-242.55</v>
      </c>
      <c r="M27" s="21"/>
      <c r="N27" s="13"/>
      <c r="O27" t="s">
        <v>52</v>
      </c>
      <c r="P27" s="12">
        <f>IRR(P2:P26)</f>
        <v>0.00415663727419635</v>
      </c>
      <c r="Q27"/>
      <c r="R27"/>
      <c r="S27"/>
      <c r="T27"/>
      <c r="U27"/>
      <c r="V27"/>
      <c r="W27"/>
      <c r="X27"/>
      <c r="Y27"/>
      <c r="Z27"/>
      <c r="AA27"/>
    </row>
    <row r="28" s="30" customFormat="1" spans="1:27">
      <c r="A28" s="30">
        <v>26</v>
      </c>
      <c r="B28" s="30" t="s">
        <v>48</v>
      </c>
      <c r="C28" s="31">
        <v>-242.55</v>
      </c>
      <c r="M28" s="21"/>
      <c r="N28" s="13"/>
      <c r="O28" t="s">
        <v>53</v>
      </c>
      <c r="P28" s="12">
        <f>P27*12</f>
        <v>0.0498796472903562</v>
      </c>
      <c r="Q28"/>
      <c r="R28"/>
      <c r="S28"/>
      <c r="T28"/>
      <c r="U28"/>
      <c r="V28"/>
      <c r="W28"/>
      <c r="X28"/>
      <c r="Y28"/>
      <c r="Z28"/>
      <c r="AA28"/>
    </row>
    <row r="29" s="30" customFormat="1" spans="1:27">
      <c r="A29" s="30">
        <v>27</v>
      </c>
      <c r="B29" s="30" t="s">
        <v>48</v>
      </c>
      <c r="C29" s="31">
        <v>-242.55</v>
      </c>
      <c r="M29" s="21"/>
      <c r="N29" s="13"/>
      <c r="O29" t="s">
        <v>17</v>
      </c>
      <c r="P29" s="13">
        <f>SUM(P2:P26)</f>
        <v>-527.839999999998</v>
      </c>
      <c r="Q29"/>
      <c r="R29"/>
      <c r="S29"/>
      <c r="T29"/>
      <c r="U29"/>
      <c r="V29"/>
      <c r="W29"/>
      <c r="X29"/>
      <c r="Y29"/>
      <c r="Z29"/>
      <c r="AA29"/>
    </row>
    <row r="30" s="30" customFormat="1" spans="1:27">
      <c r="A30" s="30">
        <v>28</v>
      </c>
      <c r="B30" s="30" t="s">
        <v>48</v>
      </c>
      <c r="C30" s="31">
        <v>-242.55</v>
      </c>
      <c r="M30" s="21"/>
      <c r="N30" s="13"/>
      <c r="O30"/>
      <c r="P30" s="13"/>
      <c r="Q30"/>
      <c r="R30"/>
      <c r="S30"/>
      <c r="T30"/>
      <c r="U30"/>
      <c r="V30"/>
      <c r="W30"/>
      <c r="X30"/>
      <c r="Y30"/>
      <c r="Z30"/>
      <c r="AA30"/>
    </row>
    <row r="31" s="30" customFormat="1" spans="1:27">
      <c r="A31" s="30">
        <v>29</v>
      </c>
      <c r="B31" s="30" t="s">
        <v>48</v>
      </c>
      <c r="C31" s="31">
        <v>-242.55</v>
      </c>
      <c r="M31" s="21"/>
      <c r="N31" s="13"/>
      <c r="O31"/>
      <c r="P31" s="13"/>
      <c r="Q31"/>
      <c r="R31"/>
      <c r="S31"/>
      <c r="T31"/>
      <c r="U31"/>
      <c r="V31"/>
      <c r="W31"/>
      <c r="X31"/>
      <c r="Y31"/>
      <c r="Z31"/>
      <c r="AA31"/>
    </row>
    <row r="32" s="30" customFormat="1" spans="1:27">
      <c r="A32" s="30">
        <v>30</v>
      </c>
      <c r="B32" s="30" t="s">
        <v>48</v>
      </c>
      <c r="C32" s="31">
        <v>-242.55</v>
      </c>
      <c r="M32" s="21"/>
      <c r="N32" s="13"/>
      <c r="O32"/>
      <c r="P32" s="13"/>
      <c r="Q32"/>
      <c r="R32"/>
      <c r="S32"/>
      <c r="T32"/>
      <c r="U32"/>
      <c r="V32"/>
      <c r="W32"/>
      <c r="X32"/>
      <c r="Y32"/>
      <c r="Z32"/>
      <c r="AA32"/>
    </row>
    <row r="33" s="30" customFormat="1" spans="1:27">
      <c r="A33" s="30">
        <v>31</v>
      </c>
      <c r="B33" s="30" t="s">
        <v>48</v>
      </c>
      <c r="C33" s="31">
        <v>-242.55</v>
      </c>
      <c r="M33" s="21"/>
      <c r="N33" s="13"/>
      <c r="O33"/>
      <c r="P33" s="13"/>
      <c r="Q33"/>
      <c r="R33"/>
      <c r="S33"/>
      <c r="T33"/>
      <c r="U33"/>
      <c r="V33"/>
      <c r="W33"/>
      <c r="X33"/>
      <c r="Y33"/>
      <c r="Z33"/>
      <c r="AA33"/>
    </row>
    <row r="34" s="30" customFormat="1" spans="1:27">
      <c r="A34" s="30">
        <v>32</v>
      </c>
      <c r="B34" s="30" t="s">
        <v>48</v>
      </c>
      <c r="C34" s="31">
        <v>-242.55</v>
      </c>
      <c r="M34" s="21"/>
      <c r="N34" s="13"/>
      <c r="O34"/>
      <c r="P34" s="13"/>
      <c r="Q34"/>
      <c r="R34"/>
      <c r="S34"/>
      <c r="T34"/>
      <c r="U34"/>
      <c r="V34"/>
      <c r="W34"/>
      <c r="X34"/>
      <c r="Y34"/>
      <c r="Z34"/>
      <c r="AA34"/>
    </row>
    <row r="35" s="30" customFormat="1" spans="1:27">
      <c r="A35" s="30">
        <v>33</v>
      </c>
      <c r="B35" s="30" t="s">
        <v>48</v>
      </c>
      <c r="C35" s="31">
        <v>-242.55</v>
      </c>
      <c r="M35" s="21"/>
      <c r="N35" s="13"/>
      <c r="O35"/>
      <c r="P35" s="13"/>
      <c r="Q35"/>
      <c r="R35"/>
      <c r="S35"/>
      <c r="T35"/>
      <c r="U35"/>
      <c r="V35"/>
      <c r="W35"/>
      <c r="X35"/>
      <c r="Y35"/>
      <c r="Z35"/>
      <c r="AA35"/>
    </row>
    <row r="36" s="30" customFormat="1" spans="1:27">
      <c r="A36" s="30">
        <v>34</v>
      </c>
      <c r="B36" s="30" t="s">
        <v>48</v>
      </c>
      <c r="C36" s="31">
        <v>-242.55</v>
      </c>
      <c r="M36" s="21"/>
      <c r="N36" s="13"/>
      <c r="O36"/>
      <c r="P36" s="13"/>
      <c r="Q36"/>
      <c r="R36"/>
      <c r="S36"/>
      <c r="T36"/>
      <c r="U36"/>
      <c r="V36"/>
      <c r="W36"/>
      <c r="X36"/>
      <c r="Y36"/>
      <c r="Z36"/>
      <c r="AA36"/>
    </row>
    <row r="37" s="30" customFormat="1" spans="1:27">
      <c r="A37" s="30">
        <v>35</v>
      </c>
      <c r="B37" s="30" t="s">
        <v>48</v>
      </c>
      <c r="C37" s="31">
        <v>-242.55</v>
      </c>
      <c r="M37" s="21"/>
      <c r="N37" s="13"/>
      <c r="O37"/>
      <c r="P37" s="13"/>
      <c r="Q37"/>
      <c r="R37"/>
      <c r="S37"/>
      <c r="T37"/>
      <c r="U37"/>
      <c r="V37"/>
      <c r="W37"/>
      <c r="X37"/>
      <c r="Y37"/>
      <c r="Z37"/>
      <c r="AA37"/>
    </row>
    <row r="38" s="30" customFormat="1" spans="1:27">
      <c r="A38" s="30">
        <v>36</v>
      </c>
      <c r="B38" s="30" t="s">
        <v>48</v>
      </c>
      <c r="C38" s="31">
        <v>-36175.89</v>
      </c>
      <c r="M38" s="21"/>
      <c r="N38" s="13"/>
      <c r="O38"/>
      <c r="P38" s="13"/>
      <c r="Q38"/>
      <c r="R38"/>
      <c r="S38"/>
      <c r="T38"/>
      <c r="U38"/>
      <c r="V38"/>
      <c r="W38"/>
      <c r="X38"/>
      <c r="Y38"/>
      <c r="Z38"/>
      <c r="AA38"/>
    </row>
    <row r="39" s="30" customFormat="1" spans="2:27">
      <c r="B39" s="30" t="s">
        <v>49</v>
      </c>
      <c r="C39" s="33">
        <f>IRR(C2:C38)</f>
        <v>0.00672951469914485</v>
      </c>
      <c r="M39" s="21"/>
      <c r="N39" s="13"/>
      <c r="O39"/>
      <c r="P39" s="13"/>
      <c r="Q39"/>
      <c r="R39"/>
      <c r="S39"/>
      <c r="T39"/>
      <c r="U39"/>
      <c r="V39"/>
      <c r="W39"/>
      <c r="X39"/>
      <c r="Y39"/>
      <c r="Z39"/>
      <c r="AA39"/>
    </row>
    <row r="40" s="30" customFormat="1" spans="2:27">
      <c r="B40" s="30" t="s">
        <v>50</v>
      </c>
      <c r="C40" s="33">
        <f>(C39)*12</f>
        <v>0.0807541763897382</v>
      </c>
      <c r="M40" s="21"/>
      <c r="N40" s="13"/>
      <c r="O40"/>
      <c r="P40" s="13"/>
      <c r="Q40"/>
      <c r="R40"/>
      <c r="S40"/>
      <c r="T40"/>
      <c r="U40"/>
      <c r="V40"/>
      <c r="W40"/>
      <c r="X40"/>
      <c r="Y40"/>
      <c r="Z40"/>
      <c r="AA40"/>
    </row>
    <row r="41" spans="2:27">
      <c r="B41" s="30" t="s">
        <v>17</v>
      </c>
      <c r="C41" s="31">
        <f>SUM(C2:C38)</f>
        <v>-17415.0899999999</v>
      </c>
      <c r="M41" s="21"/>
      <c r="N41" s="13"/>
      <c r="O41"/>
      <c r="P41" s="13"/>
      <c r="Q41"/>
      <c r="R41"/>
      <c r="S41"/>
      <c r="T41"/>
      <c r="U41"/>
      <c r="V41"/>
      <c r="W41"/>
      <c r="X41"/>
      <c r="Y41"/>
      <c r="Z41"/>
      <c r="AA41"/>
    </row>
  </sheetData>
  <mergeCells count="4">
    <mergeCell ref="A1:C1"/>
    <mergeCell ref="E1:G1"/>
    <mergeCell ref="I1:K1"/>
    <mergeCell ref="M1:P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zoomScale="123" zoomScaleNormal="123" topLeftCell="B1" workbookViewId="0">
      <selection activeCell="Q12" sqref="Q12"/>
    </sheetView>
  </sheetViews>
  <sheetFormatPr defaultColWidth="9.14285714285714" defaultRowHeight="17.6"/>
  <cols>
    <col min="1" max="1" width="15.625" customWidth="1"/>
    <col min="2" max="2" width="18.0267857142857" customWidth="1"/>
    <col min="3" max="3" width="20.9285714285714" customWidth="1"/>
    <col min="5" max="5" width="8.95535714285714" customWidth="1"/>
    <col min="6" max="7" width="14.2767857142857" customWidth="1"/>
    <col min="9" max="9" width="13.6607142857143" customWidth="1"/>
    <col min="10" max="10" width="17.2946428571429" customWidth="1"/>
    <col min="11" max="11" width="18.8660714285714" customWidth="1"/>
    <col min="13" max="13" width="13.0625" customWidth="1"/>
    <col min="14" max="14" width="16.2053571428571" customWidth="1"/>
    <col min="15" max="15" width="24.8035714285714" customWidth="1"/>
    <col min="18" max="18" width="15.4285714285714" style="13"/>
    <col min="19" max="19" width="13.7142857142857" style="13"/>
    <col min="21" max="21" width="13.7142857142857" style="13"/>
    <col min="23" max="23" width="13.7142857142857" style="13"/>
  </cols>
  <sheetData>
    <row r="1" spans="1:15">
      <c r="A1" s="30" t="s">
        <v>54</v>
      </c>
      <c r="B1" s="30"/>
      <c r="C1" s="31"/>
      <c r="D1" s="30"/>
      <c r="E1" s="30" t="s">
        <v>55</v>
      </c>
      <c r="F1" s="30"/>
      <c r="G1" s="31"/>
      <c r="H1" s="30"/>
      <c r="I1" s="30" t="s">
        <v>56</v>
      </c>
      <c r="J1" s="30"/>
      <c r="K1" s="31"/>
      <c r="L1" s="30"/>
      <c r="M1" s="34" t="s">
        <v>57</v>
      </c>
      <c r="N1" s="34"/>
      <c r="O1" s="34"/>
    </row>
    <row r="2" spans="1:23">
      <c r="A2" s="30" t="s">
        <v>46</v>
      </c>
      <c r="B2" s="27" t="s">
        <v>47</v>
      </c>
      <c r="C2" s="31">
        <v>100000</v>
      </c>
      <c r="D2" s="30"/>
      <c r="E2" s="30" t="s">
        <v>46</v>
      </c>
      <c r="F2" s="27" t="s">
        <v>47</v>
      </c>
      <c r="G2" s="31">
        <v>10000</v>
      </c>
      <c r="H2" s="30"/>
      <c r="I2" s="30" t="s">
        <v>46</v>
      </c>
      <c r="J2" s="27" t="s">
        <v>47</v>
      </c>
      <c r="K2" s="31">
        <v>10000</v>
      </c>
      <c r="L2" s="30"/>
      <c r="M2" s="30" t="s">
        <v>46</v>
      </c>
      <c r="N2" s="27" t="s">
        <v>47</v>
      </c>
      <c r="O2" s="31">
        <v>80000</v>
      </c>
      <c r="Q2" t="s">
        <v>58</v>
      </c>
      <c r="R2" s="13">
        <v>100000</v>
      </c>
      <c r="S2" s="13">
        <v>100000</v>
      </c>
      <c r="U2" s="13">
        <f>3000*12</f>
        <v>36000</v>
      </c>
      <c r="V2">
        <v>0</v>
      </c>
      <c r="W2" s="13">
        <v>150000</v>
      </c>
    </row>
    <row r="3" spans="1:23">
      <c r="A3" s="30">
        <v>1</v>
      </c>
      <c r="B3" s="27" t="s">
        <v>48</v>
      </c>
      <c r="C3" s="31">
        <v>-375</v>
      </c>
      <c r="D3" s="30"/>
      <c r="E3" s="30">
        <v>1</v>
      </c>
      <c r="F3" s="27" t="s">
        <v>48</v>
      </c>
      <c r="G3" s="31">
        <v>-49.92</v>
      </c>
      <c r="H3" s="30"/>
      <c r="I3" s="30">
        <v>1</v>
      </c>
      <c r="J3" s="27" t="s">
        <v>48</v>
      </c>
      <c r="K3" s="31">
        <v>-304.17</v>
      </c>
      <c r="L3" s="30"/>
      <c r="M3" s="30">
        <v>1</v>
      </c>
      <c r="N3" s="30" t="s">
        <v>48</v>
      </c>
      <c r="O3" s="31">
        <v>-2374.39</v>
      </c>
      <c r="Q3" t="s">
        <v>59</v>
      </c>
      <c r="R3" s="13">
        <v>-500</v>
      </c>
      <c r="S3" s="13">
        <v>0</v>
      </c>
      <c r="U3" s="13">
        <f>-3200*3</f>
        <v>-9600</v>
      </c>
      <c r="V3">
        <v>1</v>
      </c>
      <c r="W3" s="13">
        <v>-731.25</v>
      </c>
    </row>
    <row r="4" spans="1:23">
      <c r="A4" s="30">
        <v>2</v>
      </c>
      <c r="B4" s="27" t="s">
        <v>48</v>
      </c>
      <c r="C4" s="31">
        <v>-375</v>
      </c>
      <c r="D4" s="30"/>
      <c r="E4" s="30">
        <v>2</v>
      </c>
      <c r="F4" s="27" t="s">
        <v>48</v>
      </c>
      <c r="G4" s="31">
        <v>-49.92</v>
      </c>
      <c r="H4" s="30"/>
      <c r="I4" s="30">
        <v>2</v>
      </c>
      <c r="J4" s="27" t="s">
        <v>48</v>
      </c>
      <c r="K4" s="31">
        <v>-304.17</v>
      </c>
      <c r="L4" s="30"/>
      <c r="M4" s="30">
        <v>2</v>
      </c>
      <c r="N4" s="30" t="s">
        <v>48</v>
      </c>
      <c r="O4" s="31">
        <v>-2374.39</v>
      </c>
      <c r="Q4" t="s">
        <v>60</v>
      </c>
      <c r="R4" s="13">
        <v>-500</v>
      </c>
      <c r="S4" s="13">
        <v>0</v>
      </c>
      <c r="U4" s="4">
        <f>-3200*3</f>
        <v>-9600</v>
      </c>
      <c r="V4">
        <v>2</v>
      </c>
      <c r="W4" s="13">
        <v>-581.25</v>
      </c>
    </row>
    <row r="5" spans="1:23">
      <c r="A5" s="30">
        <v>3</v>
      </c>
      <c r="B5" s="27" t="s">
        <v>48</v>
      </c>
      <c r="C5" s="31">
        <v>-375</v>
      </c>
      <c r="D5" s="30"/>
      <c r="E5" s="30">
        <v>3</v>
      </c>
      <c r="F5" s="27" t="s">
        <v>48</v>
      </c>
      <c r="G5" s="31">
        <v>-49.92</v>
      </c>
      <c r="H5" s="30"/>
      <c r="I5" s="30">
        <v>3</v>
      </c>
      <c r="J5" s="27" t="s">
        <v>48</v>
      </c>
      <c r="K5" s="31">
        <v>-304.17</v>
      </c>
      <c r="L5" s="30"/>
      <c r="M5" s="30">
        <v>3</v>
      </c>
      <c r="N5" s="30" t="s">
        <v>48</v>
      </c>
      <c r="O5" s="31">
        <v>-2374.39</v>
      </c>
      <c r="Q5" t="s">
        <v>61</v>
      </c>
      <c r="R5" s="13">
        <v>-500</v>
      </c>
      <c r="S5" s="13">
        <v>0</v>
      </c>
      <c r="U5" s="13">
        <f>-3200*3</f>
        <v>-9600</v>
      </c>
      <c r="V5">
        <v>3</v>
      </c>
      <c r="W5" s="13">
        <v>-581.25</v>
      </c>
    </row>
    <row r="6" spans="1:23">
      <c r="A6" s="30">
        <v>4</v>
      </c>
      <c r="B6" s="27" t="s">
        <v>48</v>
      </c>
      <c r="C6" s="31">
        <v>-375</v>
      </c>
      <c r="D6" s="30"/>
      <c r="E6" s="30">
        <v>4</v>
      </c>
      <c r="F6" s="27" t="s">
        <v>48</v>
      </c>
      <c r="G6" s="31">
        <v>-49.92</v>
      </c>
      <c r="H6" s="30"/>
      <c r="I6" s="30">
        <v>4</v>
      </c>
      <c r="J6" s="27" t="s">
        <v>48</v>
      </c>
      <c r="K6" s="31">
        <v>-304.17</v>
      </c>
      <c r="L6" s="30"/>
      <c r="M6" s="30">
        <v>4</v>
      </c>
      <c r="N6" s="30" t="s">
        <v>48</v>
      </c>
      <c r="O6" s="31">
        <v>-2374.39</v>
      </c>
      <c r="Q6" t="s">
        <v>62</v>
      </c>
      <c r="R6" s="13">
        <v>-500</v>
      </c>
      <c r="S6" s="13">
        <v>0</v>
      </c>
      <c r="U6" s="4">
        <f>-3200*3</f>
        <v>-9600</v>
      </c>
      <c r="V6">
        <v>4</v>
      </c>
      <c r="W6" s="13">
        <v>-562.5</v>
      </c>
    </row>
    <row r="7" spans="1:23">
      <c r="A7" s="30">
        <v>5</v>
      </c>
      <c r="B7" s="27" t="s">
        <v>48</v>
      </c>
      <c r="C7" s="31">
        <v>-375</v>
      </c>
      <c r="D7" s="30"/>
      <c r="E7" s="30">
        <v>5</v>
      </c>
      <c r="F7" s="27" t="s">
        <v>48</v>
      </c>
      <c r="G7" s="31">
        <v>-49.92</v>
      </c>
      <c r="H7" s="30"/>
      <c r="I7" s="30">
        <v>5</v>
      </c>
      <c r="J7" s="27" t="s">
        <v>48</v>
      </c>
      <c r="K7" s="31">
        <v>-304.17</v>
      </c>
      <c r="L7" s="30"/>
      <c r="M7" s="30">
        <v>5</v>
      </c>
      <c r="N7" s="30" t="s">
        <v>48</v>
      </c>
      <c r="O7" s="31">
        <v>-2374.39</v>
      </c>
      <c r="Q7" t="s">
        <v>63</v>
      </c>
      <c r="R7" s="13">
        <v>-500</v>
      </c>
      <c r="S7" s="13">
        <v>0</v>
      </c>
      <c r="U7" s="37">
        <f>IRR(U2:U6)*4</f>
        <v>0.105298875482833</v>
      </c>
      <c r="V7">
        <v>5</v>
      </c>
      <c r="W7" s="13">
        <v>-581.25</v>
      </c>
    </row>
    <row r="8" spans="1:23">
      <c r="A8" s="30">
        <v>6</v>
      </c>
      <c r="B8" s="27" t="s">
        <v>48</v>
      </c>
      <c r="C8" s="31">
        <v>-375</v>
      </c>
      <c r="D8" s="30"/>
      <c r="E8" s="30">
        <v>6</v>
      </c>
      <c r="F8" s="27" t="s">
        <v>48</v>
      </c>
      <c r="G8" s="31">
        <v>-49.92</v>
      </c>
      <c r="H8" s="30"/>
      <c r="I8" s="30">
        <v>6</v>
      </c>
      <c r="J8" s="27" t="s">
        <v>48</v>
      </c>
      <c r="K8" s="31">
        <v>-304.17</v>
      </c>
      <c r="L8" s="30"/>
      <c r="M8" s="30">
        <v>6</v>
      </c>
      <c r="N8" s="30" t="s">
        <v>48</v>
      </c>
      <c r="O8" s="31">
        <v>-2374.39</v>
      </c>
      <c r="Q8" t="s">
        <v>64</v>
      </c>
      <c r="R8" s="13">
        <v>-500</v>
      </c>
      <c r="S8" s="13">
        <v>0</v>
      </c>
      <c r="V8">
        <v>6</v>
      </c>
      <c r="W8" s="13">
        <v>-562.5</v>
      </c>
    </row>
    <row r="9" spans="1:23">
      <c r="A9" s="30">
        <v>7</v>
      </c>
      <c r="B9" s="27" t="s">
        <v>48</v>
      </c>
      <c r="C9" s="31">
        <v>-375</v>
      </c>
      <c r="D9" s="30"/>
      <c r="E9" s="30">
        <v>7</v>
      </c>
      <c r="F9" s="27" t="s">
        <v>48</v>
      </c>
      <c r="G9" s="31">
        <v>-49.92</v>
      </c>
      <c r="H9" s="30"/>
      <c r="I9" s="30">
        <v>7</v>
      </c>
      <c r="J9" s="27" t="s">
        <v>48</v>
      </c>
      <c r="K9" s="31">
        <v>-304.17</v>
      </c>
      <c r="L9" s="30"/>
      <c r="M9" s="30">
        <v>7</v>
      </c>
      <c r="N9" s="30" t="s">
        <v>48</v>
      </c>
      <c r="O9" s="31">
        <v>-2374.39</v>
      </c>
      <c r="Q9" t="s">
        <v>65</v>
      </c>
      <c r="R9" s="13">
        <v>-500</v>
      </c>
      <c r="S9" s="13">
        <v>0</v>
      </c>
      <c r="V9">
        <v>7</v>
      </c>
      <c r="W9" s="13">
        <v>-581.25</v>
      </c>
    </row>
    <row r="10" spans="1:23">
      <c r="A10" s="30">
        <v>8</v>
      </c>
      <c r="B10" s="27" t="s">
        <v>48</v>
      </c>
      <c r="C10" s="31">
        <v>-375</v>
      </c>
      <c r="D10" s="30"/>
      <c r="E10" s="30">
        <v>8</v>
      </c>
      <c r="F10" s="27" t="s">
        <v>48</v>
      </c>
      <c r="G10" s="31">
        <v>-49.92</v>
      </c>
      <c r="H10" s="30"/>
      <c r="I10" s="30">
        <v>8</v>
      </c>
      <c r="J10" s="27" t="s">
        <v>48</v>
      </c>
      <c r="K10" s="31">
        <v>-304.17</v>
      </c>
      <c r="L10" s="30"/>
      <c r="M10" s="30">
        <v>8</v>
      </c>
      <c r="N10" s="30" t="s">
        <v>48</v>
      </c>
      <c r="O10" s="31">
        <v>-2374.39</v>
      </c>
      <c r="Q10" t="s">
        <v>66</v>
      </c>
      <c r="R10" s="13">
        <v>-500</v>
      </c>
      <c r="S10" s="13">
        <v>0</v>
      </c>
      <c r="V10">
        <v>8</v>
      </c>
      <c r="W10" s="13">
        <v>-581.25</v>
      </c>
    </row>
    <row r="11" spans="1:23">
      <c r="A11" s="30">
        <v>9</v>
      </c>
      <c r="B11" s="27" t="s">
        <v>48</v>
      </c>
      <c r="C11" s="31">
        <v>-375</v>
      </c>
      <c r="D11" s="30"/>
      <c r="E11" s="30">
        <v>9</v>
      </c>
      <c r="F11" s="27" t="s">
        <v>48</v>
      </c>
      <c r="G11" s="31">
        <v>-49.92</v>
      </c>
      <c r="H11" s="30"/>
      <c r="I11" s="30">
        <v>9</v>
      </c>
      <c r="J11" s="27" t="s">
        <v>48</v>
      </c>
      <c r="K11" s="31">
        <v>-304.17</v>
      </c>
      <c r="L11" s="30"/>
      <c r="M11" s="30">
        <v>9</v>
      </c>
      <c r="N11" s="30" t="s">
        <v>48</v>
      </c>
      <c r="O11" s="31">
        <v>-2374.39</v>
      </c>
      <c r="Q11" t="s">
        <v>67</v>
      </c>
      <c r="R11" s="13">
        <v>-500</v>
      </c>
      <c r="S11" s="13">
        <v>0</v>
      </c>
      <c r="V11">
        <v>9</v>
      </c>
      <c r="W11" s="13">
        <v>-525</v>
      </c>
    </row>
    <row r="12" spans="1:23">
      <c r="A12" s="30">
        <v>10</v>
      </c>
      <c r="B12" s="27" t="s">
        <v>48</v>
      </c>
      <c r="C12" s="31">
        <v>-375</v>
      </c>
      <c r="D12" s="30"/>
      <c r="E12" s="30">
        <v>10</v>
      </c>
      <c r="F12" s="27" t="s">
        <v>48</v>
      </c>
      <c r="G12" s="31">
        <v>-49.92</v>
      </c>
      <c r="H12" s="30"/>
      <c r="I12" s="30">
        <v>10</v>
      </c>
      <c r="J12" s="27" t="s">
        <v>48</v>
      </c>
      <c r="K12" s="31">
        <v>-304.17</v>
      </c>
      <c r="L12" s="30"/>
      <c r="M12" s="30">
        <v>10</v>
      </c>
      <c r="N12" s="30" t="s">
        <v>48</v>
      </c>
      <c r="O12" s="31">
        <v>-2374.39</v>
      </c>
      <c r="Q12" t="s">
        <v>68</v>
      </c>
      <c r="R12" s="13">
        <v>-500</v>
      </c>
      <c r="S12" s="13">
        <v>0</v>
      </c>
      <c r="V12">
        <v>10</v>
      </c>
      <c r="W12" s="13">
        <v>-581.25</v>
      </c>
    </row>
    <row r="13" spans="1:23">
      <c r="A13" s="30">
        <v>11</v>
      </c>
      <c r="B13" s="27" t="s">
        <v>48</v>
      </c>
      <c r="C13" s="31">
        <v>-375</v>
      </c>
      <c r="D13" s="30"/>
      <c r="E13" s="30">
        <v>11</v>
      </c>
      <c r="F13" s="27" t="s">
        <v>48</v>
      </c>
      <c r="G13" s="31">
        <v>-49.92</v>
      </c>
      <c r="H13" s="30"/>
      <c r="I13" s="30">
        <v>11</v>
      </c>
      <c r="J13" s="27" t="s">
        <v>48</v>
      </c>
      <c r="K13" s="31">
        <v>-304.17</v>
      </c>
      <c r="L13" s="30"/>
      <c r="M13" s="30">
        <v>11</v>
      </c>
      <c r="N13" s="30" t="s">
        <v>48</v>
      </c>
      <c r="O13" s="31">
        <v>-2374.39</v>
      </c>
      <c r="Q13" t="s">
        <v>69</v>
      </c>
      <c r="R13" s="13">
        <v>-500</v>
      </c>
      <c r="S13" s="13">
        <v>0</v>
      </c>
      <c r="V13">
        <v>11</v>
      </c>
      <c r="W13" s="13">
        <v>-562.5</v>
      </c>
    </row>
    <row r="14" spans="1:23">
      <c r="A14" s="30">
        <v>12</v>
      </c>
      <c r="B14" s="30" t="s">
        <v>48</v>
      </c>
      <c r="C14" s="31">
        <v>-100375</v>
      </c>
      <c r="D14" s="30"/>
      <c r="E14" s="30">
        <v>12</v>
      </c>
      <c r="F14" s="30" t="s">
        <v>48</v>
      </c>
      <c r="G14" s="31">
        <v>-10049.92</v>
      </c>
      <c r="H14" s="30"/>
      <c r="I14" s="30">
        <v>12</v>
      </c>
      <c r="J14" s="30" t="s">
        <v>48</v>
      </c>
      <c r="K14" s="31">
        <v>-304.17</v>
      </c>
      <c r="L14" s="30"/>
      <c r="M14" s="30">
        <v>12</v>
      </c>
      <c r="N14" s="30" t="s">
        <v>48</v>
      </c>
      <c r="O14" s="31">
        <v>-2374.39</v>
      </c>
      <c r="Q14" t="s">
        <v>70</v>
      </c>
      <c r="R14" s="13">
        <v>-100500</v>
      </c>
      <c r="S14" s="13">
        <v>-100600</v>
      </c>
      <c r="V14">
        <v>12</v>
      </c>
      <c r="W14" s="13">
        <v>-150412.5</v>
      </c>
    </row>
    <row r="15" spans="1:26">
      <c r="A15" s="30"/>
      <c r="B15" s="30" t="s">
        <v>49</v>
      </c>
      <c r="C15" s="32">
        <f>IRR(C2:C14)</f>
        <v>0.00374999999999992</v>
      </c>
      <c r="D15" s="30"/>
      <c r="E15" s="30"/>
      <c r="F15" s="30" t="s">
        <v>49</v>
      </c>
      <c r="G15" s="32">
        <f>IRR(G2:G14)</f>
        <v>0.00499200000000011</v>
      </c>
      <c r="H15" s="30"/>
      <c r="I15" s="30">
        <v>13</v>
      </c>
      <c r="J15" s="30" t="s">
        <v>48</v>
      </c>
      <c r="K15" s="31">
        <v>-304.17</v>
      </c>
      <c r="L15" s="30"/>
      <c r="M15" s="30">
        <v>13</v>
      </c>
      <c r="N15" s="30" t="s">
        <v>48</v>
      </c>
      <c r="O15" s="31">
        <v>-2374.39</v>
      </c>
      <c r="R15" s="35">
        <f>IRR(R2:R14)*12</f>
        <v>0.0599999999999987</v>
      </c>
      <c r="S15" s="36">
        <f>IRR(S2:S14)*12</f>
        <v>0.00598356297457592</v>
      </c>
      <c r="U15" s="37"/>
      <c r="W15" s="36">
        <f>IRR(W2:W14)*12</f>
        <v>0.0456736796975488</v>
      </c>
      <c r="Z15" s="13"/>
    </row>
    <row r="16" spans="1:15">
      <c r="A16" s="30"/>
      <c r="B16" s="30" t="s">
        <v>50</v>
      </c>
      <c r="C16" s="33">
        <f>(C15)*12</f>
        <v>0.044999999999999</v>
      </c>
      <c r="D16" s="30"/>
      <c r="E16" s="30"/>
      <c r="F16" s="30" t="s">
        <v>50</v>
      </c>
      <c r="G16" s="33">
        <f>(G15)*12</f>
        <v>0.0599040000000013</v>
      </c>
      <c r="H16" s="30"/>
      <c r="I16" s="30">
        <v>14</v>
      </c>
      <c r="J16" s="30" t="s">
        <v>48</v>
      </c>
      <c r="K16" s="31">
        <v>-304.17</v>
      </c>
      <c r="L16" s="30"/>
      <c r="M16" s="30">
        <v>14</v>
      </c>
      <c r="N16" s="30" t="s">
        <v>48</v>
      </c>
      <c r="O16" s="31">
        <v>-2374.39</v>
      </c>
    </row>
    <row r="17" spans="1:15">
      <c r="A17" s="30"/>
      <c r="B17" s="30" t="s">
        <v>17</v>
      </c>
      <c r="C17" s="31">
        <f>SUM(C2:C14)</f>
        <v>-4500</v>
      </c>
      <c r="D17" s="30"/>
      <c r="E17" s="30"/>
      <c r="F17" s="30" t="s">
        <v>17</v>
      </c>
      <c r="G17" s="30">
        <f>SUM(G2:G14)</f>
        <v>-599.040000000001</v>
      </c>
      <c r="H17" s="30"/>
      <c r="I17" s="30">
        <v>15</v>
      </c>
      <c r="J17" s="30" t="s">
        <v>48</v>
      </c>
      <c r="K17" s="31">
        <v>-304.17</v>
      </c>
      <c r="L17" s="30"/>
      <c r="M17" s="30">
        <v>15</v>
      </c>
      <c r="N17" s="30" t="s">
        <v>48</v>
      </c>
      <c r="O17" s="31">
        <v>-2374.39</v>
      </c>
    </row>
    <row r="18" spans="1:15">
      <c r="A18" s="30"/>
      <c r="B18" s="30"/>
      <c r="C18" s="31"/>
      <c r="D18" s="30"/>
      <c r="E18" s="30"/>
      <c r="F18" s="30"/>
      <c r="G18" s="30"/>
      <c r="H18" s="30"/>
      <c r="I18" s="30">
        <v>16</v>
      </c>
      <c r="J18" s="30" t="s">
        <v>48</v>
      </c>
      <c r="K18" s="31">
        <v>-304.17</v>
      </c>
      <c r="L18" s="30"/>
      <c r="M18" s="30">
        <v>16</v>
      </c>
      <c r="N18" s="30" t="s">
        <v>48</v>
      </c>
      <c r="O18" s="31">
        <v>-2374.39</v>
      </c>
    </row>
    <row r="19" spans="1:15">
      <c r="A19" s="30"/>
      <c r="B19" s="30"/>
      <c r="C19" s="31"/>
      <c r="D19" s="30"/>
      <c r="E19" s="30"/>
      <c r="F19" s="30"/>
      <c r="G19" s="30"/>
      <c r="H19" s="30"/>
      <c r="I19" s="30">
        <v>17</v>
      </c>
      <c r="J19" s="30" t="s">
        <v>48</v>
      </c>
      <c r="K19" s="31">
        <v>-304.17</v>
      </c>
      <c r="L19" s="30"/>
      <c r="M19" s="30">
        <v>17</v>
      </c>
      <c r="N19" s="30" t="s">
        <v>48</v>
      </c>
      <c r="O19" s="31">
        <v>-2374.39</v>
      </c>
    </row>
    <row r="20" spans="1:15">
      <c r="A20" s="30"/>
      <c r="B20" s="30"/>
      <c r="C20" s="31"/>
      <c r="D20" s="30"/>
      <c r="E20" s="30"/>
      <c r="F20" s="30"/>
      <c r="G20" s="30"/>
      <c r="H20" s="30"/>
      <c r="I20" s="30">
        <v>18</v>
      </c>
      <c r="J20" s="30" t="s">
        <v>48</v>
      </c>
      <c r="K20" s="31">
        <v>-304.17</v>
      </c>
      <c r="L20" s="30"/>
      <c r="M20" s="30">
        <v>18</v>
      </c>
      <c r="N20" s="30" t="s">
        <v>48</v>
      </c>
      <c r="O20" s="31">
        <v>-2374.39</v>
      </c>
    </row>
    <row r="21" spans="1:15">
      <c r="A21" s="30"/>
      <c r="B21" s="30"/>
      <c r="C21" s="31"/>
      <c r="D21" s="30"/>
      <c r="E21" s="30"/>
      <c r="F21" s="30"/>
      <c r="G21" s="30"/>
      <c r="H21" s="30"/>
      <c r="I21" s="30">
        <v>19</v>
      </c>
      <c r="J21" s="30" t="s">
        <v>48</v>
      </c>
      <c r="K21" s="31">
        <v>-304.17</v>
      </c>
      <c r="L21" s="30"/>
      <c r="M21" s="30">
        <v>19</v>
      </c>
      <c r="N21" s="30" t="s">
        <v>48</v>
      </c>
      <c r="O21" s="31">
        <v>-2374.39</v>
      </c>
    </row>
    <row r="22" spans="1:15">
      <c r="A22" s="30"/>
      <c r="B22" s="30"/>
      <c r="C22" s="31"/>
      <c r="D22" s="30"/>
      <c r="E22" s="30"/>
      <c r="F22" s="30"/>
      <c r="G22" s="30"/>
      <c r="H22" s="30"/>
      <c r="I22" s="30">
        <v>20</v>
      </c>
      <c r="J22" s="30" t="s">
        <v>48</v>
      </c>
      <c r="K22" s="31">
        <v>-304.17</v>
      </c>
      <c r="L22" s="30"/>
      <c r="M22" s="30">
        <v>20</v>
      </c>
      <c r="N22" s="30" t="s">
        <v>48</v>
      </c>
      <c r="O22" s="31">
        <v>-2374.39</v>
      </c>
    </row>
    <row r="23" spans="1:15">
      <c r="A23" s="30"/>
      <c r="B23" s="30"/>
      <c r="C23" s="31"/>
      <c r="D23" s="30"/>
      <c r="E23" s="30"/>
      <c r="F23" s="30"/>
      <c r="G23" s="30"/>
      <c r="H23" s="30"/>
      <c r="I23" s="30">
        <v>21</v>
      </c>
      <c r="J23" s="30" t="s">
        <v>48</v>
      </c>
      <c r="K23" s="31">
        <v>-304.17</v>
      </c>
      <c r="L23" s="30"/>
      <c r="M23" s="30">
        <v>21</v>
      </c>
      <c r="N23" s="30" t="s">
        <v>48</v>
      </c>
      <c r="O23" s="31">
        <v>-2374.39</v>
      </c>
    </row>
    <row r="24" spans="1:15">
      <c r="A24" s="30"/>
      <c r="B24" s="30"/>
      <c r="C24" s="31"/>
      <c r="D24" s="30"/>
      <c r="E24" s="30"/>
      <c r="F24" s="30"/>
      <c r="G24" s="30"/>
      <c r="H24" s="30"/>
      <c r="I24" s="30">
        <v>22</v>
      </c>
      <c r="J24" s="30" t="s">
        <v>48</v>
      </c>
      <c r="K24" s="31">
        <v>-304.17</v>
      </c>
      <c r="L24" s="30"/>
      <c r="M24" s="30">
        <v>22</v>
      </c>
      <c r="N24" s="30" t="s">
        <v>48</v>
      </c>
      <c r="O24" s="31">
        <v>-2374.39</v>
      </c>
    </row>
    <row r="25" spans="1:15">
      <c r="A25" s="30"/>
      <c r="B25" s="30"/>
      <c r="C25" s="31"/>
      <c r="D25" s="30"/>
      <c r="E25" s="30"/>
      <c r="F25" s="30"/>
      <c r="G25" s="30"/>
      <c r="H25" s="30"/>
      <c r="I25" s="30">
        <v>23</v>
      </c>
      <c r="J25" s="30" t="s">
        <v>48</v>
      </c>
      <c r="K25" s="31">
        <v>-304.17</v>
      </c>
      <c r="L25" s="30"/>
      <c r="M25" s="30">
        <v>23</v>
      </c>
      <c r="N25" s="30" t="s">
        <v>48</v>
      </c>
      <c r="O25" s="31">
        <v>-2374.39</v>
      </c>
    </row>
    <row r="26" spans="1:15">
      <c r="A26" s="30"/>
      <c r="B26" s="30"/>
      <c r="C26" s="31"/>
      <c r="D26" s="30"/>
      <c r="E26" s="30"/>
      <c r="F26" s="30"/>
      <c r="G26" s="30"/>
      <c r="H26" s="30"/>
      <c r="I26" s="30">
        <v>24</v>
      </c>
      <c r="J26" s="30" t="s">
        <v>48</v>
      </c>
      <c r="K26" s="31">
        <v>-304.17</v>
      </c>
      <c r="L26" s="30"/>
      <c r="M26" s="30">
        <v>24</v>
      </c>
      <c r="N26" s="30" t="s">
        <v>48</v>
      </c>
      <c r="O26" s="31">
        <v>-2374.39</v>
      </c>
    </row>
    <row r="27" spans="1:15">
      <c r="A27" s="30"/>
      <c r="B27" s="30"/>
      <c r="C27" s="31"/>
      <c r="D27" s="30"/>
      <c r="E27" s="30"/>
      <c r="F27" s="30"/>
      <c r="G27" s="30"/>
      <c r="H27" s="30"/>
      <c r="I27" s="30">
        <v>25</v>
      </c>
      <c r="J27" s="30" t="s">
        <v>48</v>
      </c>
      <c r="K27" s="31">
        <v>-304.17</v>
      </c>
      <c r="L27" s="30"/>
      <c r="M27" s="30">
        <v>25</v>
      </c>
      <c r="N27" s="30" t="s">
        <v>48</v>
      </c>
      <c r="O27" s="31">
        <v>-2374.39</v>
      </c>
    </row>
    <row r="28" spans="1:15">
      <c r="A28" s="30"/>
      <c r="B28" s="30"/>
      <c r="C28" s="31"/>
      <c r="D28" s="30"/>
      <c r="E28" s="30"/>
      <c r="F28" s="30"/>
      <c r="G28" s="30"/>
      <c r="H28" s="30"/>
      <c r="I28" s="30">
        <v>26</v>
      </c>
      <c r="J28" s="30" t="s">
        <v>48</v>
      </c>
      <c r="K28" s="31">
        <v>-304.17</v>
      </c>
      <c r="L28" s="30"/>
      <c r="M28" s="30">
        <v>26</v>
      </c>
      <c r="N28" s="30" t="s">
        <v>48</v>
      </c>
      <c r="O28" s="31">
        <v>-2374.39</v>
      </c>
    </row>
    <row r="29" spans="1:15">
      <c r="A29" s="30"/>
      <c r="B29" s="30"/>
      <c r="C29" s="31"/>
      <c r="D29" s="30"/>
      <c r="E29" s="30"/>
      <c r="F29" s="30"/>
      <c r="G29" s="30"/>
      <c r="H29" s="30"/>
      <c r="I29" s="30">
        <v>27</v>
      </c>
      <c r="J29" s="30" t="s">
        <v>48</v>
      </c>
      <c r="K29" s="31">
        <v>-304.17</v>
      </c>
      <c r="L29" s="30"/>
      <c r="M29" s="30">
        <v>27</v>
      </c>
      <c r="N29" s="30" t="s">
        <v>48</v>
      </c>
      <c r="O29" s="31">
        <v>-2374.39</v>
      </c>
    </row>
    <row r="30" spans="1:15">
      <c r="A30" s="30"/>
      <c r="B30" s="30"/>
      <c r="C30" s="31"/>
      <c r="D30" s="30"/>
      <c r="E30" s="30"/>
      <c r="F30" s="30"/>
      <c r="G30" s="30"/>
      <c r="H30" s="30"/>
      <c r="I30" s="30">
        <v>28</v>
      </c>
      <c r="J30" s="30" t="s">
        <v>48</v>
      </c>
      <c r="K30" s="31">
        <v>-304.17</v>
      </c>
      <c r="L30" s="30"/>
      <c r="M30" s="30">
        <v>28</v>
      </c>
      <c r="N30" s="30" t="s">
        <v>48</v>
      </c>
      <c r="O30" s="31">
        <v>-2374.39</v>
      </c>
    </row>
    <row r="31" spans="1:15">
      <c r="A31" s="30"/>
      <c r="B31" s="30"/>
      <c r="C31" s="31"/>
      <c r="D31" s="30"/>
      <c r="E31" s="30"/>
      <c r="F31" s="30"/>
      <c r="G31" s="30"/>
      <c r="H31" s="30"/>
      <c r="I31" s="30">
        <v>29</v>
      </c>
      <c r="J31" s="30" t="s">
        <v>48</v>
      </c>
      <c r="K31" s="31">
        <v>-304.17</v>
      </c>
      <c r="L31" s="30"/>
      <c r="M31" s="30">
        <v>29</v>
      </c>
      <c r="N31" s="30" t="s">
        <v>48</v>
      </c>
      <c r="O31" s="31">
        <v>-2374.39</v>
      </c>
    </row>
    <row r="32" spans="1:15">
      <c r="A32" s="30"/>
      <c r="B32" s="30"/>
      <c r="C32" s="31"/>
      <c r="D32" s="30"/>
      <c r="E32" s="30"/>
      <c r="F32" s="30"/>
      <c r="G32" s="30"/>
      <c r="H32" s="30"/>
      <c r="I32" s="30">
        <v>30</v>
      </c>
      <c r="J32" s="30" t="s">
        <v>48</v>
      </c>
      <c r="K32" s="31">
        <v>-304.17</v>
      </c>
      <c r="L32" s="30"/>
      <c r="M32" s="30">
        <v>30</v>
      </c>
      <c r="N32" s="30" t="s">
        <v>48</v>
      </c>
      <c r="O32" s="31">
        <v>-2374.39</v>
      </c>
    </row>
    <row r="33" spans="1:15">
      <c r="A33" s="30"/>
      <c r="B33" s="30"/>
      <c r="C33" s="31"/>
      <c r="D33" s="30"/>
      <c r="E33" s="30"/>
      <c r="F33" s="30"/>
      <c r="G33" s="30"/>
      <c r="H33" s="30"/>
      <c r="I33" s="30">
        <v>31</v>
      </c>
      <c r="J33" s="30" t="s">
        <v>48</v>
      </c>
      <c r="K33" s="31">
        <v>-304.17</v>
      </c>
      <c r="L33" s="30"/>
      <c r="M33" s="30">
        <v>31</v>
      </c>
      <c r="N33" s="30" t="s">
        <v>48</v>
      </c>
      <c r="O33" s="31">
        <v>-2374.39</v>
      </c>
    </row>
    <row r="34" spans="1:15">
      <c r="A34" s="30"/>
      <c r="B34" s="30"/>
      <c r="C34" s="31"/>
      <c r="D34" s="30"/>
      <c r="E34" s="30"/>
      <c r="F34" s="30"/>
      <c r="G34" s="30"/>
      <c r="H34" s="30"/>
      <c r="I34" s="30">
        <v>32</v>
      </c>
      <c r="J34" s="30" t="s">
        <v>48</v>
      </c>
      <c r="K34" s="31">
        <v>-304.17</v>
      </c>
      <c r="L34" s="30"/>
      <c r="M34" s="30">
        <v>32</v>
      </c>
      <c r="N34" s="30" t="s">
        <v>48</v>
      </c>
      <c r="O34" s="31">
        <v>-2374.39</v>
      </c>
    </row>
    <row r="35" spans="1:15">
      <c r="A35" s="30"/>
      <c r="B35" s="30"/>
      <c r="C35" s="31"/>
      <c r="D35" s="30"/>
      <c r="E35" s="30"/>
      <c r="F35" s="30"/>
      <c r="G35" s="30"/>
      <c r="H35" s="30"/>
      <c r="I35" s="30">
        <v>33</v>
      </c>
      <c r="J35" s="30" t="s">
        <v>48</v>
      </c>
      <c r="K35" s="31">
        <v>-304.17</v>
      </c>
      <c r="L35" s="30"/>
      <c r="M35" s="30">
        <v>33</v>
      </c>
      <c r="N35" s="30" t="s">
        <v>48</v>
      </c>
      <c r="O35" s="31">
        <v>-2374.39</v>
      </c>
    </row>
    <row r="36" spans="1:15">
      <c r="A36" s="30"/>
      <c r="B36" s="30"/>
      <c r="C36" s="31"/>
      <c r="D36" s="30"/>
      <c r="E36" s="30"/>
      <c r="F36" s="30"/>
      <c r="G36" s="30"/>
      <c r="H36" s="30"/>
      <c r="I36" s="30">
        <v>34</v>
      </c>
      <c r="J36" s="30" t="s">
        <v>48</v>
      </c>
      <c r="K36" s="31">
        <v>-304.17</v>
      </c>
      <c r="L36" s="30"/>
      <c r="M36" s="30">
        <v>34</v>
      </c>
      <c r="N36" s="30" t="s">
        <v>48</v>
      </c>
      <c r="O36" s="31">
        <v>-2374.39</v>
      </c>
    </row>
    <row r="37" spans="1:15">
      <c r="A37" s="30"/>
      <c r="B37" s="30"/>
      <c r="C37" s="31"/>
      <c r="D37" s="30"/>
      <c r="E37" s="30"/>
      <c r="F37" s="30"/>
      <c r="G37" s="30"/>
      <c r="H37" s="30"/>
      <c r="I37" s="30">
        <v>35</v>
      </c>
      <c r="J37" s="30" t="s">
        <v>48</v>
      </c>
      <c r="K37" s="31">
        <v>-304.17</v>
      </c>
      <c r="L37" s="30"/>
      <c r="M37" s="30">
        <v>35</v>
      </c>
      <c r="N37" s="30" t="s">
        <v>48</v>
      </c>
      <c r="O37" s="31">
        <v>-2374.39</v>
      </c>
    </row>
    <row r="38" spans="1:15">
      <c r="A38" s="30"/>
      <c r="B38" s="30"/>
      <c r="C38" s="31"/>
      <c r="D38" s="30"/>
      <c r="E38" s="30"/>
      <c r="F38" s="30"/>
      <c r="G38" s="30"/>
      <c r="H38" s="30"/>
      <c r="I38" s="30">
        <v>36</v>
      </c>
      <c r="J38" s="30" t="s">
        <v>48</v>
      </c>
      <c r="K38" s="31">
        <v>-304.17</v>
      </c>
      <c r="L38" s="30"/>
      <c r="M38" s="30">
        <v>36</v>
      </c>
      <c r="N38" s="30" t="s">
        <v>48</v>
      </c>
      <c r="O38" s="31">
        <v>-2374.58</v>
      </c>
    </row>
    <row r="39" spans="1:15">
      <c r="A39" s="30"/>
      <c r="B39" s="30"/>
      <c r="C39" s="31"/>
      <c r="D39" s="30"/>
      <c r="E39" s="30"/>
      <c r="F39" s="30"/>
      <c r="G39" s="30"/>
      <c r="H39" s="30"/>
      <c r="I39" s="30"/>
      <c r="J39" s="30" t="s">
        <v>49</v>
      </c>
      <c r="K39" s="33">
        <f>IRR(K2:K38)</f>
        <v>0.00499091870791935</v>
      </c>
      <c r="L39" s="30"/>
      <c r="M39" s="30"/>
      <c r="N39" s="30" t="s">
        <v>49</v>
      </c>
      <c r="O39" s="32">
        <f>IRR(O2:O38)</f>
        <v>0.00362500517753928</v>
      </c>
    </row>
    <row r="40" spans="1:15">
      <c r="A40" s="30"/>
      <c r="B40" s="30"/>
      <c r="C40" s="31"/>
      <c r="D40" s="30"/>
      <c r="E40" s="30"/>
      <c r="F40" s="30"/>
      <c r="G40" s="30"/>
      <c r="H40" s="30"/>
      <c r="I40" s="30"/>
      <c r="J40" s="30" t="s">
        <v>50</v>
      </c>
      <c r="K40" s="33">
        <f>(K39)*12</f>
        <v>0.0598910244950321</v>
      </c>
      <c r="L40" s="30"/>
      <c r="M40" s="30"/>
      <c r="N40" s="30" t="s">
        <v>50</v>
      </c>
      <c r="O40" s="33">
        <f>O39*12</f>
        <v>0.0435000621304713</v>
      </c>
    </row>
    <row r="41" spans="1:15">
      <c r="A41" s="30"/>
      <c r="B41" s="30"/>
      <c r="C41" s="30"/>
      <c r="D41" s="30"/>
      <c r="E41" s="30"/>
      <c r="F41" s="30"/>
      <c r="G41" s="30"/>
      <c r="H41" s="30"/>
      <c r="I41" s="30"/>
      <c r="J41" s="30" t="s">
        <v>17</v>
      </c>
      <c r="K41" s="30">
        <f>SUM(K2:K38)</f>
        <v>-950.120000000002</v>
      </c>
      <c r="N41" s="30" t="s">
        <v>17</v>
      </c>
      <c r="O41" s="31">
        <f>SUM(O2:O38)</f>
        <v>-5478.22999999998</v>
      </c>
    </row>
  </sheetData>
  <mergeCells count="4">
    <mergeCell ref="A1:C1"/>
    <mergeCell ref="E1:G1"/>
    <mergeCell ref="I1:K1"/>
    <mergeCell ref="M1:O1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37" zoomScaleNormal="137" topLeftCell="A10" workbookViewId="0">
      <selection activeCell="C18" sqref="C18"/>
    </sheetView>
  </sheetViews>
  <sheetFormatPr defaultColWidth="9.14285714285714" defaultRowHeight="17.6" outlineLevelCol="6"/>
  <cols>
    <col min="1" max="1" width="18.5714285714286" customWidth="1"/>
    <col min="2" max="2" width="16.8303571428571" customWidth="1"/>
    <col min="3" max="3" width="23.4642857142857" customWidth="1"/>
    <col min="4" max="4" width="17.0446428571429" customWidth="1"/>
  </cols>
  <sheetData>
    <row r="1" spans="1:7">
      <c r="A1" s="26"/>
      <c r="B1" s="27" t="s">
        <v>71</v>
      </c>
      <c r="C1" s="27" t="s">
        <v>72</v>
      </c>
      <c r="D1" s="27" t="s">
        <v>73</v>
      </c>
      <c r="E1" s="26"/>
      <c r="F1" s="26"/>
      <c r="G1" s="26"/>
    </row>
    <row r="2" spans="1:7">
      <c r="A2" s="28" t="s">
        <v>74</v>
      </c>
      <c r="B2" s="29">
        <v>7713.99</v>
      </c>
      <c r="C2" s="26">
        <v>2390.65</v>
      </c>
      <c r="D2" s="26">
        <v>6445</v>
      </c>
      <c r="E2" s="26"/>
      <c r="F2" s="26"/>
      <c r="G2" s="26"/>
    </row>
    <row r="3" spans="1:7">
      <c r="A3" s="28" t="s">
        <v>75</v>
      </c>
      <c r="B3" s="26">
        <v>1909.72</v>
      </c>
      <c r="C3" s="26">
        <v>2989.28</v>
      </c>
      <c r="D3" s="26">
        <v>320.4</v>
      </c>
      <c r="E3" s="26"/>
      <c r="F3" s="26"/>
      <c r="G3" s="26"/>
    </row>
    <row r="4" spans="1:7">
      <c r="A4" s="28" t="s">
        <v>76</v>
      </c>
      <c r="B4" s="26">
        <v>7160.92</v>
      </c>
      <c r="C4" s="26">
        <v>2138.93</v>
      </c>
      <c r="D4" s="26">
        <v>1198.1</v>
      </c>
      <c r="E4" s="26"/>
      <c r="F4" s="26"/>
      <c r="G4" s="26"/>
    </row>
    <row r="5" spans="1:7">
      <c r="A5" s="28" t="s">
        <v>77</v>
      </c>
      <c r="B5" s="26">
        <v>1662.65</v>
      </c>
      <c r="C5" s="26">
        <v>1790.32</v>
      </c>
      <c r="D5" s="26">
        <v>6681.1</v>
      </c>
      <c r="E5" s="26"/>
      <c r="F5" s="26"/>
      <c r="G5" s="26"/>
    </row>
    <row r="6" spans="1:7">
      <c r="A6" s="28" t="s">
        <v>78</v>
      </c>
      <c r="B6" s="26">
        <v>2516.16</v>
      </c>
      <c r="C6" s="26">
        <v>1192.4</v>
      </c>
      <c r="D6" s="26">
        <v>737.34</v>
      </c>
      <c r="E6" s="26"/>
      <c r="F6" s="26"/>
      <c r="G6" s="26"/>
    </row>
    <row r="7" spans="1:7">
      <c r="A7" s="28" t="s">
        <v>79</v>
      </c>
      <c r="B7" s="26">
        <v>4293.86</v>
      </c>
      <c r="C7" s="26">
        <v>780.34</v>
      </c>
      <c r="D7" s="26">
        <v>565.68</v>
      </c>
      <c r="E7" s="26"/>
      <c r="F7" s="26"/>
      <c r="G7" s="26"/>
    </row>
    <row r="8" spans="1:7">
      <c r="A8" s="28" t="s">
        <v>80</v>
      </c>
      <c r="B8" s="26">
        <v>692.41</v>
      </c>
      <c r="C8" s="26">
        <v>805.69</v>
      </c>
      <c r="D8" s="26">
        <v>6804.8</v>
      </c>
      <c r="E8" s="26"/>
      <c r="F8" s="26"/>
      <c r="G8" s="26"/>
    </row>
    <row r="9" spans="1:7">
      <c r="A9" s="28" t="s">
        <v>81</v>
      </c>
      <c r="B9" s="26">
        <v>1259.46</v>
      </c>
      <c r="C9" s="26">
        <v>3251.57</v>
      </c>
      <c r="D9" s="26">
        <v>1472.94</v>
      </c>
      <c r="E9" s="26"/>
      <c r="F9" s="26"/>
      <c r="G9" s="26"/>
    </row>
    <row r="10" spans="1:7">
      <c r="A10" s="28" t="s">
        <v>82</v>
      </c>
      <c r="B10" s="26">
        <v>16620.31</v>
      </c>
      <c r="C10" s="26">
        <v>1140.37</v>
      </c>
      <c r="D10" s="26">
        <v>766.13</v>
      </c>
      <c r="E10" s="26"/>
      <c r="F10" s="26"/>
      <c r="G10" s="26"/>
    </row>
    <row r="11" spans="1:7">
      <c r="A11" s="28" t="s">
        <v>83</v>
      </c>
      <c r="B11" s="26">
        <v>2892.32</v>
      </c>
      <c r="C11" s="26">
        <v>1560.21</v>
      </c>
      <c r="D11" s="26">
        <v>763.32</v>
      </c>
      <c r="E11" s="26"/>
      <c r="F11" s="26"/>
      <c r="G11" s="26"/>
    </row>
    <row r="12" spans="1:7">
      <c r="A12" s="28" t="s">
        <v>84</v>
      </c>
      <c r="B12" s="26">
        <v>2087.7</v>
      </c>
      <c r="C12" s="26">
        <v>1689.55</v>
      </c>
      <c r="D12" s="26">
        <v>6.09</v>
      </c>
      <c r="E12" s="26"/>
      <c r="F12" s="26"/>
      <c r="G12" s="26"/>
    </row>
    <row r="13" spans="1:7">
      <c r="A13" s="28" t="s">
        <v>85</v>
      </c>
      <c r="B13" s="26">
        <v>2829.42</v>
      </c>
      <c r="C13" s="26">
        <v>1267.8</v>
      </c>
      <c r="D13" s="26">
        <v>942.78</v>
      </c>
      <c r="E13" s="26"/>
      <c r="F13" s="26"/>
      <c r="G13" s="26"/>
    </row>
    <row r="14" spans="1:7">
      <c r="A14" s="26" t="s">
        <v>86</v>
      </c>
      <c r="B14" s="26">
        <f>SUM(B2:B13)</f>
        <v>51638.92</v>
      </c>
      <c r="C14" s="26">
        <f>SUM(C2:C13)</f>
        <v>20997.11</v>
      </c>
      <c r="D14" s="26">
        <f>SUM(D2:D13)</f>
        <v>26703.68</v>
      </c>
      <c r="E14" s="26"/>
      <c r="F14" s="26"/>
      <c r="G14" s="26"/>
    </row>
    <row r="15" spans="1:7">
      <c r="A15" s="26" t="s">
        <v>87</v>
      </c>
      <c r="B15" s="26">
        <f>AVERAGE(B2:B13)</f>
        <v>4303.24333333333</v>
      </c>
      <c r="C15" s="26">
        <f>AVERAGE(C2:C13)</f>
        <v>1749.75916666667</v>
      </c>
      <c r="D15" s="26">
        <f>AVERAGE(D2:D13)</f>
        <v>2225.30666666667</v>
      </c>
      <c r="E15" s="26">
        <f>SUM(B15:D15)</f>
        <v>8278.30916666667</v>
      </c>
      <c r="F15" s="26">
        <v>4921</v>
      </c>
      <c r="G15" s="26">
        <f>SUM(E15:F15)</f>
        <v>13199.3091666667</v>
      </c>
    </row>
    <row r="18" spans="3:3">
      <c r="C18">
        <f>(572.99+435.1*1.8105+263.4*3.287+1999.23+138644.62)</f>
        <v>142870.38435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6"/>
  <sheetViews>
    <sheetView zoomScale="144" zoomScaleNormal="144" workbookViewId="0">
      <selection activeCell="E26" sqref="E26"/>
    </sheetView>
  </sheetViews>
  <sheetFormatPr defaultColWidth="9.14285714285714" defaultRowHeight="17.6" outlineLevelCol="5"/>
  <cols>
    <col min="2" max="2" width="13.8482142857143" style="18" customWidth="1"/>
    <col min="3" max="3" width="9.14285714285714" style="19"/>
    <col min="4" max="4" width="20.5625" style="20" customWidth="1"/>
    <col min="5" max="5" width="12.7857142857143"/>
  </cols>
  <sheetData>
    <row r="1" spans="2:4">
      <c r="B1" s="21" t="s">
        <v>88</v>
      </c>
      <c r="C1" s="19" t="s">
        <v>46</v>
      </c>
      <c r="D1" s="20" t="s">
        <v>89</v>
      </c>
    </row>
    <row r="2" spans="2:4">
      <c r="B2" s="22">
        <v>44896</v>
      </c>
      <c r="C2" s="19">
        <v>0</v>
      </c>
      <c r="D2" s="20">
        <v>15700000</v>
      </c>
    </row>
    <row r="3" spans="2:4">
      <c r="B3" s="23">
        <v>44954</v>
      </c>
      <c r="C3" s="19">
        <v>1</v>
      </c>
      <c r="D3" s="24">
        <v>-752916</v>
      </c>
    </row>
    <row r="4" spans="2:4">
      <c r="B4" s="23">
        <v>44985</v>
      </c>
      <c r="C4" s="19">
        <v>2</v>
      </c>
      <c r="D4" s="24">
        <v>-752916</v>
      </c>
    </row>
    <row r="5" spans="2:4">
      <c r="B5" s="23">
        <v>45013</v>
      </c>
      <c r="C5" s="19">
        <v>3</v>
      </c>
      <c r="D5" s="24">
        <v>-752916</v>
      </c>
    </row>
    <row r="6" spans="2:4">
      <c r="B6" s="23">
        <v>45044</v>
      </c>
      <c r="C6" s="19">
        <v>4</v>
      </c>
      <c r="D6" s="24">
        <v>-752916</v>
      </c>
    </row>
    <row r="7" spans="2:4">
      <c r="B7" s="23">
        <v>45074</v>
      </c>
      <c r="C7" s="19">
        <v>5</v>
      </c>
      <c r="D7" s="24">
        <v>-752916</v>
      </c>
    </row>
    <row r="8" spans="2:4">
      <c r="B8" s="23">
        <v>45105</v>
      </c>
      <c r="C8" s="19">
        <v>6</v>
      </c>
      <c r="D8" s="24">
        <v>-752916</v>
      </c>
    </row>
    <row r="9" spans="2:4">
      <c r="B9" s="23">
        <v>45135</v>
      </c>
      <c r="C9" s="19">
        <v>7</v>
      </c>
      <c r="D9" s="24">
        <v>-752916</v>
      </c>
    </row>
    <row r="10" spans="2:4">
      <c r="B10" s="23">
        <v>45166</v>
      </c>
      <c r="C10" s="19">
        <v>8</v>
      </c>
      <c r="D10" s="24">
        <v>-752916</v>
      </c>
    </row>
    <row r="11" spans="2:4">
      <c r="B11" s="23">
        <v>45197</v>
      </c>
      <c r="C11" s="19">
        <v>9</v>
      </c>
      <c r="D11" s="24">
        <v>-752916</v>
      </c>
    </row>
    <row r="12" spans="2:4">
      <c r="B12" s="23">
        <v>45227</v>
      </c>
      <c r="C12" s="19">
        <v>10</v>
      </c>
      <c r="D12" s="24">
        <v>-752916</v>
      </c>
    </row>
    <row r="13" spans="2:4">
      <c r="B13" s="23">
        <v>45258</v>
      </c>
      <c r="C13" s="19">
        <v>11</v>
      </c>
      <c r="D13" s="24">
        <v>-752916</v>
      </c>
    </row>
    <row r="14" spans="2:4">
      <c r="B14" s="23">
        <v>45288</v>
      </c>
      <c r="C14" s="19">
        <v>12</v>
      </c>
      <c r="D14" s="24">
        <v>-752916</v>
      </c>
    </row>
    <row r="15" spans="2:4">
      <c r="B15" s="23">
        <v>45319</v>
      </c>
      <c r="C15" s="19">
        <v>13</v>
      </c>
      <c r="D15" s="24">
        <v>-752916</v>
      </c>
    </row>
    <row r="16" spans="2:4">
      <c r="B16" s="23">
        <v>45350</v>
      </c>
      <c r="C16" s="19">
        <v>14</v>
      </c>
      <c r="D16" s="24">
        <v>-752916</v>
      </c>
    </row>
    <row r="17" spans="2:6">
      <c r="B17" s="23">
        <v>45379</v>
      </c>
      <c r="C17" s="19">
        <v>15</v>
      </c>
      <c r="D17" s="24">
        <v>-752916</v>
      </c>
      <c r="F17" t="s">
        <v>90</v>
      </c>
    </row>
    <row r="18" spans="2:4">
      <c r="B18" s="23">
        <v>45410</v>
      </c>
      <c r="C18" s="19">
        <v>16</v>
      </c>
      <c r="D18" s="24">
        <v>-752916</v>
      </c>
    </row>
    <row r="19" spans="2:4">
      <c r="B19" s="23">
        <v>45440</v>
      </c>
      <c r="C19" s="19">
        <v>17</v>
      </c>
      <c r="D19" s="24">
        <v>-752916</v>
      </c>
    </row>
    <row r="20" spans="2:4">
      <c r="B20" s="23">
        <v>45471</v>
      </c>
      <c r="C20" s="19">
        <v>18</v>
      </c>
      <c r="D20" s="24">
        <v>-752916</v>
      </c>
    </row>
    <row r="21" spans="2:4">
      <c r="B21" s="23">
        <v>45501</v>
      </c>
      <c r="C21" s="19">
        <v>19</v>
      </c>
      <c r="D21" s="24">
        <v>-752916</v>
      </c>
    </row>
    <row r="22" spans="2:4">
      <c r="B22" s="23">
        <v>45532</v>
      </c>
      <c r="C22" s="19">
        <v>20</v>
      </c>
      <c r="D22" s="24">
        <v>-752916</v>
      </c>
    </row>
    <row r="23" spans="2:4">
      <c r="B23" s="23">
        <v>45563</v>
      </c>
      <c r="C23" s="19">
        <v>21</v>
      </c>
      <c r="D23" s="24">
        <v>-752916</v>
      </c>
    </row>
    <row r="24" spans="2:4">
      <c r="B24" s="23">
        <v>45593</v>
      </c>
      <c r="C24" s="19">
        <v>22</v>
      </c>
      <c r="D24" s="24">
        <v>-752916</v>
      </c>
    </row>
    <row r="25" spans="2:4">
      <c r="B25" s="23">
        <v>45624</v>
      </c>
      <c r="C25" s="19">
        <v>23</v>
      </c>
      <c r="D25" s="24">
        <v>-752916</v>
      </c>
    </row>
    <row r="26" spans="2:5">
      <c r="B26" s="23">
        <v>45654</v>
      </c>
      <c r="C26" s="19">
        <v>24</v>
      </c>
      <c r="D26" s="24">
        <v>-752916</v>
      </c>
      <c r="E26" s="25">
        <f>XIRR(D2:D26,B2:B26)</f>
        <v>0.137031628045243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35" zoomScaleNormal="135" workbookViewId="0">
      <selection activeCell="A1" sqref="A1:G4"/>
    </sheetView>
  </sheetViews>
  <sheetFormatPr defaultColWidth="9.14285714285714" defaultRowHeight="17.6" outlineLevelCol="6"/>
  <cols>
    <col min="1" max="1" width="21.2678571428571" customWidth="1"/>
    <col min="2" max="2" width="18.1785714285714" customWidth="1"/>
    <col min="3" max="3" width="15.5357142857143" customWidth="1"/>
    <col min="4" max="4" width="23.2232142857143" customWidth="1"/>
    <col min="5" max="5" width="20.6071428571429" customWidth="1"/>
    <col min="6" max="6" width="29.6339285714286" customWidth="1"/>
    <col min="7" max="7" width="35.0803571428571" customWidth="1"/>
    <col min="8" max="8" width="33.6339285714286" customWidth="1"/>
    <col min="9" max="9" width="34.5982142857143" customWidth="1"/>
    <col min="10" max="10" width="37.7410714285714" customWidth="1"/>
  </cols>
  <sheetData>
    <row r="1" spans="1:7">
      <c r="A1" s="11" t="s">
        <v>11</v>
      </c>
      <c r="B1" s="11"/>
      <c r="C1" s="11"/>
      <c r="D1" s="11"/>
      <c r="E1" s="11"/>
      <c r="F1" s="11"/>
      <c r="G1" s="11"/>
    </row>
    <row r="2" spans="1:7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91</v>
      </c>
    </row>
    <row r="3" spans="1:6">
      <c r="A3" t="s">
        <v>92</v>
      </c>
      <c r="B3" s="12">
        <v>0.0355</v>
      </c>
      <c r="C3">
        <v>30</v>
      </c>
      <c r="D3" s="13">
        <v>400000</v>
      </c>
      <c r="E3" s="17">
        <f>PMT(B3/12,C3*12,D3)</f>
        <v>-1807.36153068562</v>
      </c>
      <c r="F3" s="13">
        <f>SUM(D3+E3*30*12)</f>
        <v>-250650.151046825</v>
      </c>
    </row>
    <row r="4" spans="1:6">
      <c r="A4" t="s">
        <v>92</v>
      </c>
      <c r="B4" s="12">
        <v>0.031</v>
      </c>
      <c r="C4">
        <v>20</v>
      </c>
      <c r="D4" s="13">
        <v>400000</v>
      </c>
      <c r="E4" s="17">
        <f>PMT(B4/12,C4*12,D4)</f>
        <v>-2238.46758968304</v>
      </c>
      <c r="F4" s="13">
        <f>SUM(D4+E4*30*12)</f>
        <v>-405848.332285894</v>
      </c>
    </row>
    <row r="6" spans="1:6">
      <c r="A6" t="s">
        <v>92</v>
      </c>
      <c r="B6" s="12">
        <v>0.038</v>
      </c>
      <c r="C6">
        <v>30</v>
      </c>
      <c r="D6" s="13">
        <v>300000</v>
      </c>
      <c r="E6" s="17">
        <f>PMT(B6/12,C6*12,D6)</f>
        <v>-1397.87205298369</v>
      </c>
      <c r="F6" s="13">
        <f>SUM(D6+E6*30*12)</f>
        <v>-203233.939074129</v>
      </c>
    </row>
    <row r="7" spans="1:6">
      <c r="A7" t="s">
        <v>92</v>
      </c>
      <c r="B7" s="14">
        <v>0.041</v>
      </c>
      <c r="C7">
        <v>30</v>
      </c>
      <c r="D7" s="13">
        <v>300000</v>
      </c>
      <c r="E7" s="17">
        <f>PMT(B7/12,C7*12,D7)</f>
        <v>-1449.59511330747</v>
      </c>
      <c r="F7" s="13">
        <f>SUM(D7+E7*30*12)</f>
        <v>-221854.24079069</v>
      </c>
    </row>
    <row r="12" spans="1:6">
      <c r="A12" t="s">
        <v>92</v>
      </c>
      <c r="B12" s="12">
        <v>0.037</v>
      </c>
      <c r="C12">
        <v>30</v>
      </c>
      <c r="D12" s="13">
        <v>500000</v>
      </c>
      <c r="E12" s="17">
        <f>PMT(B12/12,C12*12,D12)</f>
        <v>-2301.4149235513</v>
      </c>
      <c r="F12" s="13">
        <f>SUM(D12+E12*30*12)</f>
        <v>-328509.372478466</v>
      </c>
    </row>
    <row r="13" spans="1:6">
      <c r="A13" t="s">
        <v>92</v>
      </c>
      <c r="B13" s="12">
        <v>0.042</v>
      </c>
      <c r="C13">
        <v>30</v>
      </c>
      <c r="D13" s="13">
        <v>500000</v>
      </c>
      <c r="E13" s="17">
        <f>PMT(B13/12,C13*12,D13)</f>
        <v>-2445.08586856761</v>
      </c>
      <c r="F13" s="13">
        <f>SUM(D13+E13*30*12)</f>
        <v>-380230.91268434</v>
      </c>
    </row>
    <row r="16" spans="1:5">
      <c r="A16" s="15" t="s">
        <v>93</v>
      </c>
      <c r="B16" s="15"/>
      <c r="C16" s="15"/>
      <c r="D16" s="15"/>
      <c r="E16" s="15"/>
    </row>
    <row r="17" spans="2:5">
      <c r="B17" t="s">
        <v>94</v>
      </c>
      <c r="C17" t="s">
        <v>95</v>
      </c>
      <c r="D17" t="s">
        <v>96</v>
      </c>
      <c r="E17" t="s">
        <v>97</v>
      </c>
    </row>
    <row r="18" spans="1:5">
      <c r="A18" t="s">
        <v>98</v>
      </c>
      <c r="B18" s="12">
        <v>0.037</v>
      </c>
      <c r="C18">
        <v>30</v>
      </c>
      <c r="D18" s="13">
        <v>500000</v>
      </c>
      <c r="E18" s="17">
        <f>PMT(B18/12,C18*12,D18)</f>
        <v>-2301.4149235513</v>
      </c>
    </row>
    <row r="19" spans="1:5">
      <c r="A19" t="s">
        <v>99</v>
      </c>
      <c r="B19" s="16">
        <v>0.08</v>
      </c>
      <c r="C19">
        <v>30</v>
      </c>
      <c r="D19" s="13">
        <v>460000</v>
      </c>
      <c r="E19" s="13">
        <f>D19*B19/12</f>
        <v>3066.66666666667</v>
      </c>
    </row>
    <row r="33" spans="1:2">
      <c r="A33" t="s">
        <v>13</v>
      </c>
      <c r="B33" t="s">
        <v>14</v>
      </c>
    </row>
    <row r="37" spans="1:6">
      <c r="A37" t="s">
        <v>30</v>
      </c>
      <c r="B37" t="s">
        <v>31</v>
      </c>
      <c r="C37" t="s">
        <v>100</v>
      </c>
      <c r="D37" t="s">
        <v>101</v>
      </c>
      <c r="E37" t="s">
        <v>102</v>
      </c>
      <c r="F37" t="s">
        <v>103</v>
      </c>
    </row>
    <row r="38" spans="1:6">
      <c r="A38" s="14">
        <v>0.042</v>
      </c>
      <c r="B38" s="12">
        <v>0.1</v>
      </c>
      <c r="C38">
        <v>30</v>
      </c>
      <c r="D38" s="13">
        <v>500000</v>
      </c>
      <c r="E38" s="13">
        <f>D38*(100%+B38-A38)^C38/C38</f>
        <v>90452.1263237703</v>
      </c>
      <c r="F38" s="13">
        <f>D38*(B38-A38)*C38/C38</f>
        <v>29000</v>
      </c>
    </row>
    <row r="39" spans="1:6">
      <c r="A39" s="14">
        <v>0.042</v>
      </c>
      <c r="B39" s="12">
        <v>0.06</v>
      </c>
      <c r="C39">
        <v>30</v>
      </c>
      <c r="D39" s="13">
        <v>500000</v>
      </c>
      <c r="E39" s="13">
        <f>D39*(100%+B39-A39)^C39/C39</f>
        <v>28463.0928578517</v>
      </c>
      <c r="F39" s="13">
        <f>D39*(B39-A39)*C39/C39</f>
        <v>9000</v>
      </c>
    </row>
  </sheetData>
  <mergeCells count="2">
    <mergeCell ref="A1:G1"/>
    <mergeCell ref="A16:E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4"/>
  <sheetViews>
    <sheetView zoomScale="114" zoomScaleNormal="114" workbookViewId="0">
      <selection activeCell="E26" sqref="E26"/>
    </sheetView>
  </sheetViews>
  <sheetFormatPr defaultColWidth="9.14285714285714" defaultRowHeight="17.6" outlineLevelCol="5"/>
  <cols>
    <col min="1" max="1" width="19.9375" customWidth="1"/>
    <col min="2" max="2" width="17.2678571428571" customWidth="1"/>
    <col min="4" max="4" width="20.2410714285714" customWidth="1"/>
    <col min="5" max="5" width="34.0625" customWidth="1"/>
    <col min="6" max="6" width="31.3125" customWidth="1"/>
  </cols>
  <sheetData>
    <row r="1" ht="44" customHeight="1" spans="1:6">
      <c r="A1" s="1" t="s">
        <v>104</v>
      </c>
      <c r="B1" s="2"/>
      <c r="C1" s="2"/>
      <c r="D1" s="2"/>
      <c r="E1" s="2"/>
      <c r="F1" s="2"/>
    </row>
    <row r="2" spans="1:6">
      <c r="A2" s="3" t="s">
        <v>105</v>
      </c>
      <c r="B2" s="3" t="s">
        <v>106</v>
      </c>
      <c r="C2" s="3" t="s">
        <v>107</v>
      </c>
      <c r="D2" s="3" t="s">
        <v>52</v>
      </c>
      <c r="E2" s="3" t="s">
        <v>53</v>
      </c>
      <c r="F2" s="3" t="s">
        <v>108</v>
      </c>
    </row>
    <row r="3" spans="1:6">
      <c r="A3" s="4">
        <v>500000</v>
      </c>
      <c r="B3" s="4">
        <v>0</v>
      </c>
      <c r="C3" s="5"/>
      <c r="D3" s="6">
        <f>IRR(D4:D364)</f>
        <v>0.00308333333333341</v>
      </c>
      <c r="E3" s="8">
        <f>D3*12</f>
        <v>0.0370000000000009</v>
      </c>
      <c r="F3" s="9">
        <f>A3-B3</f>
        <v>500000</v>
      </c>
    </row>
    <row r="4" spans="1:6">
      <c r="A4" s="3" t="s">
        <v>13</v>
      </c>
      <c r="B4" s="3" t="s">
        <v>14</v>
      </c>
      <c r="C4" s="5">
        <v>0</v>
      </c>
      <c r="D4" s="4">
        <f>A3-B3</f>
        <v>500000</v>
      </c>
      <c r="E4" s="5"/>
      <c r="F4" s="5"/>
    </row>
    <row r="5" spans="1:6">
      <c r="A5" s="7">
        <v>0.037</v>
      </c>
      <c r="B5" s="5">
        <v>30</v>
      </c>
      <c r="C5" s="5">
        <v>1</v>
      </c>
      <c r="D5" s="4">
        <f>PMT(A5/12,B5*12,A3)</f>
        <v>-2301.4149235513</v>
      </c>
      <c r="E5" s="3" t="s">
        <v>109</v>
      </c>
      <c r="F5" s="3" t="s">
        <v>110</v>
      </c>
    </row>
    <row r="6" spans="1:6">
      <c r="A6" s="5"/>
      <c r="B6" s="5"/>
      <c r="C6" s="5">
        <v>2</v>
      </c>
      <c r="D6" s="4">
        <f t="shared" ref="D6:D69" si="0">D5</f>
        <v>-2301.4149235513</v>
      </c>
      <c r="E6" s="10">
        <f>F3*(100%+6%-E3)/B5</f>
        <v>17050</v>
      </c>
      <c r="F6" s="10">
        <f>F3*(100%+6%-E3)^B5/B5</f>
        <v>32969.909951175</v>
      </c>
    </row>
    <row r="7" spans="1:6">
      <c r="A7" s="5"/>
      <c r="B7" s="5"/>
      <c r="C7" s="5">
        <v>3</v>
      </c>
      <c r="D7" s="4">
        <f t="shared" si="0"/>
        <v>-2301.4149235513</v>
      </c>
      <c r="E7" s="3" t="s">
        <v>111</v>
      </c>
      <c r="F7" s="3" t="s">
        <v>112</v>
      </c>
    </row>
    <row r="8" spans="1:6">
      <c r="A8" s="5"/>
      <c r="B8" s="5"/>
      <c r="C8" s="5">
        <v>4</v>
      </c>
      <c r="D8" s="4">
        <f t="shared" si="0"/>
        <v>-2301.4149235513</v>
      </c>
      <c r="E8" s="10">
        <f>F3*(100%+10%-E3)/B5</f>
        <v>17716.6666666667</v>
      </c>
      <c r="F8" s="10">
        <f>F3*(100%+10%-E3)^B5/B5</f>
        <v>104194.953532301</v>
      </c>
    </row>
    <row r="9" spans="1:6">
      <c r="A9" s="5"/>
      <c r="B9" s="5"/>
      <c r="C9" s="5">
        <v>5</v>
      </c>
      <c r="D9" s="4">
        <f t="shared" si="0"/>
        <v>-2301.4149235513</v>
      </c>
      <c r="E9" s="3" t="s">
        <v>113</v>
      </c>
      <c r="F9" s="3" t="s">
        <v>114</v>
      </c>
    </row>
    <row r="10" spans="1:6">
      <c r="A10" s="5"/>
      <c r="B10" s="5"/>
      <c r="C10" s="5">
        <v>6</v>
      </c>
      <c r="D10" s="4">
        <f t="shared" si="0"/>
        <v>-2301.4149235513</v>
      </c>
      <c r="E10" s="10">
        <f>F3*(100%+15%-E3)/B5</f>
        <v>18550</v>
      </c>
      <c r="F10" s="10">
        <f>F3*(100%+15%-E3)^B5/B5</f>
        <v>413717.298025283</v>
      </c>
    </row>
    <row r="11" spans="1:6">
      <c r="A11" s="5"/>
      <c r="B11" s="5"/>
      <c r="C11" s="5">
        <v>7</v>
      </c>
      <c r="D11" s="4">
        <f t="shared" si="0"/>
        <v>-2301.4149235513</v>
      </c>
      <c r="E11" s="5"/>
      <c r="F11" s="5"/>
    </row>
    <row r="12" spans="1:6">
      <c r="A12" s="5"/>
      <c r="B12" s="5"/>
      <c r="C12" s="5">
        <v>8</v>
      </c>
      <c r="D12" s="4">
        <f t="shared" si="0"/>
        <v>-2301.4149235513</v>
      </c>
      <c r="E12" s="5"/>
      <c r="F12" s="5"/>
    </row>
    <row r="13" spans="1:6">
      <c r="A13" s="5"/>
      <c r="B13" s="5"/>
      <c r="C13" s="5">
        <v>9</v>
      </c>
      <c r="D13" s="4">
        <f t="shared" si="0"/>
        <v>-2301.4149235513</v>
      </c>
      <c r="E13" s="5"/>
      <c r="F13" s="5"/>
    </row>
    <row r="14" spans="1:6">
      <c r="A14" s="5"/>
      <c r="B14" s="5"/>
      <c r="C14" s="5">
        <v>10</v>
      </c>
      <c r="D14" s="4">
        <f t="shared" si="0"/>
        <v>-2301.4149235513</v>
      </c>
      <c r="E14" s="5"/>
      <c r="F14" s="5"/>
    </row>
    <row r="15" spans="1:6">
      <c r="A15" s="5"/>
      <c r="B15" s="5"/>
      <c r="C15" s="5">
        <v>11</v>
      </c>
      <c r="D15" s="4">
        <f t="shared" si="0"/>
        <v>-2301.4149235513</v>
      </c>
      <c r="E15" s="5"/>
      <c r="F15" s="5"/>
    </row>
    <row r="16" spans="1:6">
      <c r="A16" s="5"/>
      <c r="B16" s="5"/>
      <c r="C16" s="5">
        <v>12</v>
      </c>
      <c r="D16" s="4">
        <f t="shared" si="0"/>
        <v>-2301.4149235513</v>
      </c>
      <c r="E16" s="5"/>
      <c r="F16" s="5"/>
    </row>
    <row r="17" spans="1:6">
      <c r="A17" s="5"/>
      <c r="B17" s="5"/>
      <c r="C17" s="5">
        <v>13</v>
      </c>
      <c r="D17" s="4">
        <f t="shared" si="0"/>
        <v>-2301.4149235513</v>
      </c>
      <c r="E17" s="5"/>
      <c r="F17" s="5"/>
    </row>
    <row r="18" spans="1:6">
      <c r="A18" s="5"/>
      <c r="B18" s="5"/>
      <c r="C18" s="5">
        <v>14</v>
      </c>
      <c r="D18" s="4">
        <f t="shared" si="0"/>
        <v>-2301.4149235513</v>
      </c>
      <c r="E18" s="5"/>
      <c r="F18" s="5"/>
    </row>
    <row r="19" spans="1:6">
      <c r="A19" s="5"/>
      <c r="B19" s="5"/>
      <c r="C19" s="5">
        <v>15</v>
      </c>
      <c r="D19" s="4">
        <f t="shared" si="0"/>
        <v>-2301.4149235513</v>
      </c>
      <c r="E19" s="5"/>
      <c r="F19" s="5"/>
    </row>
    <row r="20" spans="1:6">
      <c r="A20" s="5"/>
      <c r="B20" s="5"/>
      <c r="C20" s="5">
        <v>16</v>
      </c>
      <c r="D20" s="4">
        <f t="shared" si="0"/>
        <v>-2301.4149235513</v>
      </c>
      <c r="E20" s="5"/>
      <c r="F20" s="5"/>
    </row>
    <row r="21" spans="1:6">
      <c r="A21" s="5"/>
      <c r="B21" s="5"/>
      <c r="C21" s="5">
        <v>17</v>
      </c>
      <c r="D21" s="4">
        <f t="shared" si="0"/>
        <v>-2301.4149235513</v>
      </c>
      <c r="E21" s="5"/>
      <c r="F21" s="5"/>
    </row>
    <row r="22" spans="1:6">
      <c r="A22" s="5"/>
      <c r="B22" s="5"/>
      <c r="C22" s="5">
        <v>18</v>
      </c>
      <c r="D22" s="4">
        <f t="shared" si="0"/>
        <v>-2301.4149235513</v>
      </c>
      <c r="E22" s="5"/>
      <c r="F22" s="5"/>
    </row>
    <row r="23" spans="1:6">
      <c r="A23" s="5"/>
      <c r="B23" s="5"/>
      <c r="C23" s="5">
        <v>19</v>
      </c>
      <c r="D23" s="4">
        <f t="shared" si="0"/>
        <v>-2301.4149235513</v>
      </c>
      <c r="E23" s="5"/>
      <c r="F23" s="5"/>
    </row>
    <row r="24" spans="1:6">
      <c r="A24" s="5"/>
      <c r="B24" s="5"/>
      <c r="C24" s="5">
        <v>20</v>
      </c>
      <c r="D24" s="4">
        <f t="shared" si="0"/>
        <v>-2301.4149235513</v>
      </c>
      <c r="E24" s="5"/>
      <c r="F24" s="5"/>
    </row>
    <row r="25" spans="1:6">
      <c r="A25" s="5"/>
      <c r="B25" s="5"/>
      <c r="C25" s="5">
        <v>21</v>
      </c>
      <c r="D25" s="4">
        <f t="shared" si="0"/>
        <v>-2301.4149235513</v>
      </c>
      <c r="E25" s="5"/>
      <c r="F25" s="5"/>
    </row>
    <row r="26" spans="1:6">
      <c r="A26" s="5"/>
      <c r="B26" s="5"/>
      <c r="C26" s="5">
        <v>22</v>
      </c>
      <c r="D26" s="4">
        <f t="shared" si="0"/>
        <v>-2301.4149235513</v>
      </c>
      <c r="E26" s="5"/>
      <c r="F26" s="5"/>
    </row>
    <row r="27" spans="1:6">
      <c r="A27" s="5"/>
      <c r="B27" s="5"/>
      <c r="C27" s="5">
        <v>23</v>
      </c>
      <c r="D27" s="4">
        <f t="shared" si="0"/>
        <v>-2301.4149235513</v>
      </c>
      <c r="E27" s="5"/>
      <c r="F27" s="5"/>
    </row>
    <row r="28" spans="1:6">
      <c r="A28" s="5"/>
      <c r="B28" s="5"/>
      <c r="C28" s="5">
        <v>24</v>
      </c>
      <c r="D28" s="4">
        <f t="shared" si="0"/>
        <v>-2301.4149235513</v>
      </c>
      <c r="E28" s="5"/>
      <c r="F28" s="5"/>
    </row>
    <row r="29" spans="1:6">
      <c r="A29" s="5"/>
      <c r="B29" s="5"/>
      <c r="C29" s="5">
        <v>25</v>
      </c>
      <c r="D29" s="4">
        <f t="shared" si="0"/>
        <v>-2301.4149235513</v>
      </c>
      <c r="E29" s="5"/>
      <c r="F29" s="5"/>
    </row>
    <row r="30" spans="1:6">
      <c r="A30" s="5"/>
      <c r="B30" s="5"/>
      <c r="C30" s="5">
        <v>26</v>
      </c>
      <c r="D30" s="4">
        <f t="shared" si="0"/>
        <v>-2301.4149235513</v>
      </c>
      <c r="E30" s="5"/>
      <c r="F30" s="5"/>
    </row>
    <row r="31" spans="1:6">
      <c r="A31" s="5"/>
      <c r="B31" s="5"/>
      <c r="C31" s="5">
        <v>27</v>
      </c>
      <c r="D31" s="4">
        <f t="shared" si="0"/>
        <v>-2301.4149235513</v>
      </c>
      <c r="E31" s="5"/>
      <c r="F31" s="5"/>
    </row>
    <row r="32" spans="1:6">
      <c r="A32" s="5"/>
      <c r="B32" s="5"/>
      <c r="C32" s="5">
        <v>28</v>
      </c>
      <c r="D32" s="4">
        <f t="shared" si="0"/>
        <v>-2301.4149235513</v>
      </c>
      <c r="E32" s="5"/>
      <c r="F32" s="5"/>
    </row>
    <row r="33" spans="1:6">
      <c r="A33" s="5"/>
      <c r="B33" s="5"/>
      <c r="C33" s="5">
        <v>29</v>
      </c>
      <c r="D33" s="4">
        <f t="shared" si="0"/>
        <v>-2301.4149235513</v>
      </c>
      <c r="E33" s="5"/>
      <c r="F33" s="5"/>
    </row>
    <row r="34" spans="1:6">
      <c r="A34" s="5"/>
      <c r="B34" s="5"/>
      <c r="C34" s="5">
        <v>30</v>
      </c>
      <c r="D34" s="4">
        <f t="shared" si="0"/>
        <v>-2301.4149235513</v>
      </c>
      <c r="E34" s="5"/>
      <c r="F34" s="5"/>
    </row>
    <row r="35" spans="1:6">
      <c r="A35" s="5"/>
      <c r="B35" s="5"/>
      <c r="C35" s="5">
        <v>31</v>
      </c>
      <c r="D35" s="4">
        <f t="shared" si="0"/>
        <v>-2301.4149235513</v>
      </c>
      <c r="E35" s="5"/>
      <c r="F35" s="5"/>
    </row>
    <row r="36" spans="1:6">
      <c r="A36" s="5"/>
      <c r="B36" s="5"/>
      <c r="C36" s="5">
        <v>32</v>
      </c>
      <c r="D36" s="4">
        <f t="shared" si="0"/>
        <v>-2301.4149235513</v>
      </c>
      <c r="E36" s="5"/>
      <c r="F36" s="5"/>
    </row>
    <row r="37" spans="1:6">
      <c r="A37" s="5"/>
      <c r="B37" s="5"/>
      <c r="C37" s="5">
        <v>33</v>
      </c>
      <c r="D37" s="4">
        <f t="shared" si="0"/>
        <v>-2301.4149235513</v>
      </c>
      <c r="E37" s="5"/>
      <c r="F37" s="5"/>
    </row>
    <row r="38" spans="1:6">
      <c r="A38" s="5"/>
      <c r="B38" s="5"/>
      <c r="C38" s="5">
        <v>34</v>
      </c>
      <c r="D38" s="4">
        <f t="shared" si="0"/>
        <v>-2301.4149235513</v>
      </c>
      <c r="E38" s="5"/>
      <c r="F38" s="5"/>
    </row>
    <row r="39" spans="1:6">
      <c r="A39" s="5"/>
      <c r="B39" s="5"/>
      <c r="C39" s="5">
        <v>35</v>
      </c>
      <c r="D39" s="4">
        <f t="shared" si="0"/>
        <v>-2301.4149235513</v>
      </c>
      <c r="E39" s="5"/>
      <c r="F39" s="5"/>
    </row>
    <row r="40" spans="1:6">
      <c r="A40" s="5"/>
      <c r="B40" s="5"/>
      <c r="C40" s="5">
        <v>36</v>
      </c>
      <c r="D40" s="4">
        <f t="shared" si="0"/>
        <v>-2301.4149235513</v>
      </c>
      <c r="E40" s="5"/>
      <c r="F40" s="5"/>
    </row>
    <row r="41" spans="1:6">
      <c r="A41" s="5"/>
      <c r="B41" s="5"/>
      <c r="C41" s="5">
        <v>37</v>
      </c>
      <c r="D41" s="4">
        <f t="shared" si="0"/>
        <v>-2301.4149235513</v>
      </c>
      <c r="E41" s="5"/>
      <c r="F41" s="5"/>
    </row>
    <row r="42" spans="1:6">
      <c r="A42" s="5"/>
      <c r="B42" s="5"/>
      <c r="C42" s="5">
        <v>38</v>
      </c>
      <c r="D42" s="4">
        <f t="shared" si="0"/>
        <v>-2301.4149235513</v>
      </c>
      <c r="E42" s="5"/>
      <c r="F42" s="5"/>
    </row>
    <row r="43" spans="1:6">
      <c r="A43" s="5"/>
      <c r="B43" s="5"/>
      <c r="C43" s="5">
        <v>39</v>
      </c>
      <c r="D43" s="4">
        <f t="shared" si="0"/>
        <v>-2301.4149235513</v>
      </c>
      <c r="E43" s="5"/>
      <c r="F43" s="5"/>
    </row>
    <row r="44" spans="1:6">
      <c r="A44" s="5"/>
      <c r="B44" s="5"/>
      <c r="C44" s="5">
        <v>40</v>
      </c>
      <c r="D44" s="4">
        <f t="shared" si="0"/>
        <v>-2301.4149235513</v>
      </c>
      <c r="E44" s="5"/>
      <c r="F44" s="5"/>
    </row>
    <row r="45" spans="1:6">
      <c r="A45" s="5"/>
      <c r="B45" s="5"/>
      <c r="C45" s="5">
        <v>41</v>
      </c>
      <c r="D45" s="4">
        <f t="shared" si="0"/>
        <v>-2301.4149235513</v>
      </c>
      <c r="E45" s="5"/>
      <c r="F45" s="5"/>
    </row>
    <row r="46" spans="1:6">
      <c r="A46" s="5"/>
      <c r="B46" s="5"/>
      <c r="C46" s="5">
        <v>42</v>
      </c>
      <c r="D46" s="4">
        <f t="shared" si="0"/>
        <v>-2301.4149235513</v>
      </c>
      <c r="E46" s="5"/>
      <c r="F46" s="5"/>
    </row>
    <row r="47" spans="1:6">
      <c r="A47" s="5"/>
      <c r="B47" s="5"/>
      <c r="C47" s="5">
        <v>43</v>
      </c>
      <c r="D47" s="4">
        <f t="shared" si="0"/>
        <v>-2301.4149235513</v>
      </c>
      <c r="E47" s="5"/>
      <c r="F47" s="5"/>
    </row>
    <row r="48" spans="1:6">
      <c r="A48" s="5"/>
      <c r="B48" s="5"/>
      <c r="C48" s="5">
        <v>44</v>
      </c>
      <c r="D48" s="4">
        <f t="shared" si="0"/>
        <v>-2301.4149235513</v>
      </c>
      <c r="E48" s="5"/>
      <c r="F48" s="5"/>
    </row>
    <row r="49" spans="1:6">
      <c r="A49" s="5"/>
      <c r="B49" s="5"/>
      <c r="C49" s="5">
        <v>45</v>
      </c>
      <c r="D49" s="4">
        <f t="shared" si="0"/>
        <v>-2301.4149235513</v>
      </c>
      <c r="E49" s="5"/>
      <c r="F49" s="5"/>
    </row>
    <row r="50" spans="1:6">
      <c r="A50" s="5"/>
      <c r="B50" s="5"/>
      <c r="C50" s="5">
        <v>46</v>
      </c>
      <c r="D50" s="4">
        <f t="shared" si="0"/>
        <v>-2301.4149235513</v>
      </c>
      <c r="E50" s="5"/>
      <c r="F50" s="5"/>
    </row>
    <row r="51" spans="1:6">
      <c r="A51" s="5"/>
      <c r="B51" s="5"/>
      <c r="C51" s="5">
        <v>47</v>
      </c>
      <c r="D51" s="4">
        <f t="shared" si="0"/>
        <v>-2301.4149235513</v>
      </c>
      <c r="E51" s="5"/>
      <c r="F51" s="5"/>
    </row>
    <row r="52" spans="1:6">
      <c r="A52" s="5"/>
      <c r="B52" s="5"/>
      <c r="C52" s="5">
        <v>48</v>
      </c>
      <c r="D52" s="4">
        <f t="shared" si="0"/>
        <v>-2301.4149235513</v>
      </c>
      <c r="E52" s="5"/>
      <c r="F52" s="5"/>
    </row>
    <row r="53" spans="1:6">
      <c r="A53" s="5"/>
      <c r="B53" s="5"/>
      <c r="C53" s="5">
        <v>49</v>
      </c>
      <c r="D53" s="4">
        <f t="shared" si="0"/>
        <v>-2301.4149235513</v>
      </c>
      <c r="E53" s="5"/>
      <c r="F53" s="5"/>
    </row>
    <row r="54" spans="1:6">
      <c r="A54" s="5"/>
      <c r="B54" s="5"/>
      <c r="C54" s="5">
        <v>50</v>
      </c>
      <c r="D54" s="4">
        <f t="shared" si="0"/>
        <v>-2301.4149235513</v>
      </c>
      <c r="E54" s="5"/>
      <c r="F54" s="5"/>
    </row>
    <row r="55" spans="1:6">
      <c r="A55" s="5"/>
      <c r="B55" s="5"/>
      <c r="C55" s="5">
        <v>51</v>
      </c>
      <c r="D55" s="4">
        <f t="shared" si="0"/>
        <v>-2301.4149235513</v>
      </c>
      <c r="E55" s="5"/>
      <c r="F55" s="5"/>
    </row>
    <row r="56" spans="1:6">
      <c r="A56" s="5"/>
      <c r="B56" s="5"/>
      <c r="C56" s="5">
        <v>52</v>
      </c>
      <c r="D56" s="4">
        <f t="shared" si="0"/>
        <v>-2301.4149235513</v>
      </c>
      <c r="E56" s="5"/>
      <c r="F56" s="5"/>
    </row>
    <row r="57" spans="1:6">
      <c r="A57" s="5"/>
      <c r="B57" s="5"/>
      <c r="C57" s="5">
        <v>53</v>
      </c>
      <c r="D57" s="4">
        <f t="shared" si="0"/>
        <v>-2301.4149235513</v>
      </c>
      <c r="E57" s="5"/>
      <c r="F57" s="5"/>
    </row>
    <row r="58" spans="1:6">
      <c r="A58" s="5"/>
      <c r="B58" s="5"/>
      <c r="C58" s="5">
        <v>54</v>
      </c>
      <c r="D58" s="4">
        <f t="shared" si="0"/>
        <v>-2301.4149235513</v>
      </c>
      <c r="E58" s="5"/>
      <c r="F58" s="5"/>
    </row>
    <row r="59" spans="1:6">
      <c r="A59" s="5"/>
      <c r="B59" s="5"/>
      <c r="C59" s="5">
        <v>55</v>
      </c>
      <c r="D59" s="4">
        <f t="shared" si="0"/>
        <v>-2301.4149235513</v>
      </c>
      <c r="E59" s="5"/>
      <c r="F59" s="5"/>
    </row>
    <row r="60" spans="1:6">
      <c r="A60" s="5"/>
      <c r="B60" s="5"/>
      <c r="C60" s="5">
        <v>56</v>
      </c>
      <c r="D60" s="4">
        <f t="shared" si="0"/>
        <v>-2301.4149235513</v>
      </c>
      <c r="E60" s="5"/>
      <c r="F60" s="5"/>
    </row>
    <row r="61" spans="1:6">
      <c r="A61" s="5"/>
      <c r="B61" s="5"/>
      <c r="C61" s="5">
        <v>57</v>
      </c>
      <c r="D61" s="4">
        <f t="shared" si="0"/>
        <v>-2301.4149235513</v>
      </c>
      <c r="E61" s="5"/>
      <c r="F61" s="5"/>
    </row>
    <row r="62" spans="1:6">
      <c r="A62" s="5"/>
      <c r="B62" s="5"/>
      <c r="C62" s="5">
        <v>58</v>
      </c>
      <c r="D62" s="4">
        <f t="shared" si="0"/>
        <v>-2301.4149235513</v>
      </c>
      <c r="E62" s="5"/>
      <c r="F62" s="5"/>
    </row>
    <row r="63" spans="1:6">
      <c r="A63" s="5"/>
      <c r="B63" s="5"/>
      <c r="C63" s="5">
        <v>59</v>
      </c>
      <c r="D63" s="4">
        <f t="shared" si="0"/>
        <v>-2301.4149235513</v>
      </c>
      <c r="E63" s="5"/>
      <c r="F63" s="5"/>
    </row>
    <row r="64" spans="1:6">
      <c r="A64" s="5"/>
      <c r="B64" s="5"/>
      <c r="C64" s="5">
        <v>60</v>
      </c>
      <c r="D64" s="4">
        <f t="shared" si="0"/>
        <v>-2301.4149235513</v>
      </c>
      <c r="E64" s="5"/>
      <c r="F64" s="5"/>
    </row>
    <row r="65" spans="1:6">
      <c r="A65" s="5"/>
      <c r="B65" s="5"/>
      <c r="C65" s="5">
        <v>61</v>
      </c>
      <c r="D65" s="4">
        <f t="shared" si="0"/>
        <v>-2301.4149235513</v>
      </c>
      <c r="E65" s="5"/>
      <c r="F65" s="5"/>
    </row>
    <row r="66" spans="1:6">
      <c r="A66" s="5"/>
      <c r="B66" s="5"/>
      <c r="C66" s="5">
        <v>62</v>
      </c>
      <c r="D66" s="4">
        <f t="shared" si="0"/>
        <v>-2301.4149235513</v>
      </c>
      <c r="E66" s="5"/>
      <c r="F66" s="5"/>
    </row>
    <row r="67" spans="1:6">
      <c r="A67" s="5"/>
      <c r="B67" s="5"/>
      <c r="C67" s="5">
        <v>63</v>
      </c>
      <c r="D67" s="4">
        <f t="shared" si="0"/>
        <v>-2301.4149235513</v>
      </c>
      <c r="E67" s="5"/>
      <c r="F67" s="5"/>
    </row>
    <row r="68" spans="1:6">
      <c r="A68" s="5"/>
      <c r="B68" s="5"/>
      <c r="C68" s="5">
        <v>64</v>
      </c>
      <c r="D68" s="4">
        <f t="shared" si="0"/>
        <v>-2301.4149235513</v>
      </c>
      <c r="E68" s="5"/>
      <c r="F68" s="5"/>
    </row>
    <row r="69" spans="1:6">
      <c r="A69" s="5"/>
      <c r="B69" s="5"/>
      <c r="C69" s="5">
        <v>65</v>
      </c>
      <c r="D69" s="4">
        <f t="shared" si="0"/>
        <v>-2301.4149235513</v>
      </c>
      <c r="E69" s="5"/>
      <c r="F69" s="5"/>
    </row>
    <row r="70" spans="1:6">
      <c r="A70" s="5"/>
      <c r="B70" s="5"/>
      <c r="C70" s="5">
        <v>66</v>
      </c>
      <c r="D70" s="4">
        <f t="shared" ref="D70:D133" si="1">D69</f>
        <v>-2301.4149235513</v>
      </c>
      <c r="E70" s="5"/>
      <c r="F70" s="5"/>
    </row>
    <row r="71" spans="1:6">
      <c r="A71" s="5"/>
      <c r="B71" s="5"/>
      <c r="C71" s="5">
        <v>67</v>
      </c>
      <c r="D71" s="4">
        <f t="shared" si="1"/>
        <v>-2301.4149235513</v>
      </c>
      <c r="E71" s="5"/>
      <c r="F71" s="5"/>
    </row>
    <row r="72" spans="1:6">
      <c r="A72" s="5"/>
      <c r="B72" s="5"/>
      <c r="C72" s="5">
        <v>68</v>
      </c>
      <c r="D72" s="4">
        <f t="shared" si="1"/>
        <v>-2301.4149235513</v>
      </c>
      <c r="E72" s="5"/>
      <c r="F72" s="5"/>
    </row>
    <row r="73" spans="1:6">
      <c r="A73" s="5"/>
      <c r="B73" s="5"/>
      <c r="C73" s="5">
        <v>69</v>
      </c>
      <c r="D73" s="4">
        <f t="shared" si="1"/>
        <v>-2301.4149235513</v>
      </c>
      <c r="E73" s="5"/>
      <c r="F73" s="5"/>
    </row>
    <row r="74" spans="1:6">
      <c r="A74" s="5"/>
      <c r="B74" s="5"/>
      <c r="C74" s="5">
        <v>70</v>
      </c>
      <c r="D74" s="4">
        <f t="shared" si="1"/>
        <v>-2301.4149235513</v>
      </c>
      <c r="E74" s="5"/>
      <c r="F74" s="5"/>
    </row>
    <row r="75" spans="1:6">
      <c r="A75" s="5"/>
      <c r="B75" s="5"/>
      <c r="C75" s="5">
        <v>71</v>
      </c>
      <c r="D75" s="4">
        <f t="shared" si="1"/>
        <v>-2301.4149235513</v>
      </c>
      <c r="E75" s="5"/>
      <c r="F75" s="5"/>
    </row>
    <row r="76" spans="1:6">
      <c r="A76" s="5"/>
      <c r="B76" s="5"/>
      <c r="C76" s="5">
        <v>72</v>
      </c>
      <c r="D76" s="4">
        <f t="shared" si="1"/>
        <v>-2301.4149235513</v>
      </c>
      <c r="E76" s="5"/>
      <c r="F76" s="5"/>
    </row>
    <row r="77" spans="1:6">
      <c r="A77" s="5"/>
      <c r="B77" s="5"/>
      <c r="C77" s="5">
        <v>73</v>
      </c>
      <c r="D77" s="4">
        <f t="shared" si="1"/>
        <v>-2301.4149235513</v>
      </c>
      <c r="E77" s="5"/>
      <c r="F77" s="5"/>
    </row>
    <row r="78" spans="1:6">
      <c r="A78" s="5"/>
      <c r="B78" s="5"/>
      <c r="C78" s="5">
        <v>74</v>
      </c>
      <c r="D78" s="4">
        <f t="shared" si="1"/>
        <v>-2301.4149235513</v>
      </c>
      <c r="E78" s="5"/>
      <c r="F78" s="5"/>
    </row>
    <row r="79" spans="1:6">
      <c r="A79" s="5"/>
      <c r="B79" s="5"/>
      <c r="C79" s="5">
        <v>75</v>
      </c>
      <c r="D79" s="4">
        <f t="shared" si="1"/>
        <v>-2301.4149235513</v>
      </c>
      <c r="E79" s="5"/>
      <c r="F79" s="5"/>
    </row>
    <row r="80" spans="1:6">
      <c r="A80" s="5"/>
      <c r="B80" s="5"/>
      <c r="C80" s="5">
        <v>76</v>
      </c>
      <c r="D80" s="4">
        <f t="shared" si="1"/>
        <v>-2301.4149235513</v>
      </c>
      <c r="E80" s="5"/>
      <c r="F80" s="5"/>
    </row>
    <row r="81" spans="1:6">
      <c r="A81" s="5"/>
      <c r="B81" s="5"/>
      <c r="C81" s="5">
        <v>77</v>
      </c>
      <c r="D81" s="4">
        <f t="shared" si="1"/>
        <v>-2301.4149235513</v>
      </c>
      <c r="E81" s="5"/>
      <c r="F81" s="5"/>
    </row>
    <row r="82" spans="1:6">
      <c r="A82" s="5"/>
      <c r="B82" s="5"/>
      <c r="C82" s="5">
        <v>78</v>
      </c>
      <c r="D82" s="4">
        <f t="shared" si="1"/>
        <v>-2301.4149235513</v>
      </c>
      <c r="E82" s="5"/>
      <c r="F82" s="5"/>
    </row>
    <row r="83" spans="1:6">
      <c r="A83" s="5"/>
      <c r="B83" s="5"/>
      <c r="C83" s="5">
        <v>79</v>
      </c>
      <c r="D83" s="4">
        <f t="shared" si="1"/>
        <v>-2301.4149235513</v>
      </c>
      <c r="E83" s="5"/>
      <c r="F83" s="5"/>
    </row>
    <row r="84" spans="1:6">
      <c r="A84" s="5"/>
      <c r="B84" s="5"/>
      <c r="C84" s="5">
        <v>80</v>
      </c>
      <c r="D84" s="4">
        <f t="shared" si="1"/>
        <v>-2301.4149235513</v>
      </c>
      <c r="E84" s="5"/>
      <c r="F84" s="5"/>
    </row>
    <row r="85" spans="1:6">
      <c r="A85" s="5"/>
      <c r="B85" s="5"/>
      <c r="C85" s="5">
        <v>81</v>
      </c>
      <c r="D85" s="4">
        <f t="shared" si="1"/>
        <v>-2301.4149235513</v>
      </c>
      <c r="E85" s="5"/>
      <c r="F85" s="5"/>
    </row>
    <row r="86" spans="1:6">
      <c r="A86" s="5"/>
      <c r="B86" s="5"/>
      <c r="C86" s="5">
        <v>82</v>
      </c>
      <c r="D86" s="4">
        <f t="shared" si="1"/>
        <v>-2301.4149235513</v>
      </c>
      <c r="E86" s="5"/>
      <c r="F86" s="5"/>
    </row>
    <row r="87" spans="1:6">
      <c r="A87" s="5"/>
      <c r="B87" s="5"/>
      <c r="C87" s="5">
        <v>83</v>
      </c>
      <c r="D87" s="4">
        <f t="shared" si="1"/>
        <v>-2301.4149235513</v>
      </c>
      <c r="E87" s="5"/>
      <c r="F87" s="5"/>
    </row>
    <row r="88" spans="1:6">
      <c r="A88" s="5"/>
      <c r="B88" s="5"/>
      <c r="C88" s="5">
        <v>84</v>
      </c>
      <c r="D88" s="4">
        <f t="shared" si="1"/>
        <v>-2301.4149235513</v>
      </c>
      <c r="E88" s="5"/>
      <c r="F88" s="5"/>
    </row>
    <row r="89" spans="1:6">
      <c r="A89" s="5"/>
      <c r="B89" s="5"/>
      <c r="C89" s="5">
        <v>85</v>
      </c>
      <c r="D89" s="4">
        <f t="shared" si="1"/>
        <v>-2301.4149235513</v>
      </c>
      <c r="E89" s="5"/>
      <c r="F89" s="5"/>
    </row>
    <row r="90" spans="1:6">
      <c r="A90" s="5"/>
      <c r="B90" s="5"/>
      <c r="C90" s="5">
        <v>86</v>
      </c>
      <c r="D90" s="4">
        <f t="shared" si="1"/>
        <v>-2301.4149235513</v>
      </c>
      <c r="E90" s="5"/>
      <c r="F90" s="5"/>
    </row>
    <row r="91" spans="1:6">
      <c r="A91" s="5"/>
      <c r="B91" s="5"/>
      <c r="C91" s="5">
        <v>87</v>
      </c>
      <c r="D91" s="4">
        <f t="shared" si="1"/>
        <v>-2301.4149235513</v>
      </c>
      <c r="E91" s="5"/>
      <c r="F91" s="5"/>
    </row>
    <row r="92" spans="1:6">
      <c r="A92" s="5"/>
      <c r="B92" s="5"/>
      <c r="C92" s="5">
        <v>88</v>
      </c>
      <c r="D92" s="4">
        <f t="shared" si="1"/>
        <v>-2301.4149235513</v>
      </c>
      <c r="E92" s="5"/>
      <c r="F92" s="5"/>
    </row>
    <row r="93" spans="1:6">
      <c r="A93" s="5"/>
      <c r="B93" s="5"/>
      <c r="C93" s="5">
        <v>89</v>
      </c>
      <c r="D93" s="4">
        <f t="shared" si="1"/>
        <v>-2301.4149235513</v>
      </c>
      <c r="E93" s="5"/>
      <c r="F93" s="5"/>
    </row>
    <row r="94" spans="1:6">
      <c r="A94" s="5"/>
      <c r="B94" s="5"/>
      <c r="C94" s="5">
        <v>90</v>
      </c>
      <c r="D94" s="4">
        <f t="shared" si="1"/>
        <v>-2301.4149235513</v>
      </c>
      <c r="E94" s="5"/>
      <c r="F94" s="5"/>
    </row>
    <row r="95" spans="1:6">
      <c r="A95" s="5"/>
      <c r="B95" s="5"/>
      <c r="C95" s="5">
        <v>91</v>
      </c>
      <c r="D95" s="4">
        <f t="shared" si="1"/>
        <v>-2301.4149235513</v>
      </c>
      <c r="E95" s="5"/>
      <c r="F95" s="5"/>
    </row>
    <row r="96" spans="1:6">
      <c r="A96" s="5"/>
      <c r="B96" s="5"/>
      <c r="C96" s="5">
        <v>92</v>
      </c>
      <c r="D96" s="4">
        <f t="shared" si="1"/>
        <v>-2301.4149235513</v>
      </c>
      <c r="E96" s="5"/>
      <c r="F96" s="5"/>
    </row>
    <row r="97" spans="1:6">
      <c r="A97" s="5"/>
      <c r="B97" s="5"/>
      <c r="C97" s="5">
        <v>93</v>
      </c>
      <c r="D97" s="4">
        <f t="shared" si="1"/>
        <v>-2301.4149235513</v>
      </c>
      <c r="E97" s="5"/>
      <c r="F97" s="5"/>
    </row>
    <row r="98" spans="1:6">
      <c r="A98" s="5"/>
      <c r="B98" s="5"/>
      <c r="C98" s="5">
        <v>94</v>
      </c>
      <c r="D98" s="4">
        <f t="shared" si="1"/>
        <v>-2301.4149235513</v>
      </c>
      <c r="E98" s="5"/>
      <c r="F98" s="5"/>
    </row>
    <row r="99" spans="1:6">
      <c r="A99" s="5"/>
      <c r="B99" s="5"/>
      <c r="C99" s="5">
        <v>95</v>
      </c>
      <c r="D99" s="4">
        <f t="shared" si="1"/>
        <v>-2301.4149235513</v>
      </c>
      <c r="E99" s="5"/>
      <c r="F99" s="5"/>
    </row>
    <row r="100" spans="1:6">
      <c r="A100" s="5"/>
      <c r="B100" s="5"/>
      <c r="C100" s="5">
        <v>96</v>
      </c>
      <c r="D100" s="4">
        <f t="shared" si="1"/>
        <v>-2301.4149235513</v>
      </c>
      <c r="E100" s="5"/>
      <c r="F100" s="5"/>
    </row>
    <row r="101" spans="1:6">
      <c r="A101" s="5"/>
      <c r="B101" s="5"/>
      <c r="C101" s="5">
        <v>97</v>
      </c>
      <c r="D101" s="4">
        <f t="shared" si="1"/>
        <v>-2301.4149235513</v>
      </c>
      <c r="E101" s="5"/>
      <c r="F101" s="5"/>
    </row>
    <row r="102" spans="1:6">
      <c r="A102" s="5"/>
      <c r="B102" s="5"/>
      <c r="C102" s="5">
        <v>98</v>
      </c>
      <c r="D102" s="4">
        <f t="shared" si="1"/>
        <v>-2301.4149235513</v>
      </c>
      <c r="E102" s="5"/>
      <c r="F102" s="5"/>
    </row>
    <row r="103" spans="1:6">
      <c r="A103" s="5"/>
      <c r="B103" s="5"/>
      <c r="C103" s="5">
        <v>99</v>
      </c>
      <c r="D103" s="4">
        <f t="shared" si="1"/>
        <v>-2301.4149235513</v>
      </c>
      <c r="E103" s="5"/>
      <c r="F103" s="5"/>
    </row>
    <row r="104" spans="1:6">
      <c r="A104" s="5"/>
      <c r="B104" s="5"/>
      <c r="C104" s="5">
        <v>100</v>
      </c>
      <c r="D104" s="4">
        <f t="shared" si="1"/>
        <v>-2301.4149235513</v>
      </c>
      <c r="E104" s="5"/>
      <c r="F104" s="5"/>
    </row>
    <row r="105" spans="1:6">
      <c r="A105" s="5"/>
      <c r="B105" s="5"/>
      <c r="C105" s="5">
        <v>101</v>
      </c>
      <c r="D105" s="4">
        <f t="shared" si="1"/>
        <v>-2301.4149235513</v>
      </c>
      <c r="E105" s="5"/>
      <c r="F105" s="5"/>
    </row>
    <row r="106" spans="1:6">
      <c r="A106" s="5"/>
      <c r="B106" s="5"/>
      <c r="C106" s="5">
        <v>102</v>
      </c>
      <c r="D106" s="4">
        <f t="shared" si="1"/>
        <v>-2301.4149235513</v>
      </c>
      <c r="E106" s="5"/>
      <c r="F106" s="5"/>
    </row>
    <row r="107" spans="1:6">
      <c r="A107" s="5"/>
      <c r="B107" s="5"/>
      <c r="C107" s="5">
        <v>103</v>
      </c>
      <c r="D107" s="4">
        <f t="shared" si="1"/>
        <v>-2301.4149235513</v>
      </c>
      <c r="E107" s="5"/>
      <c r="F107" s="5"/>
    </row>
    <row r="108" spans="1:6">
      <c r="A108" s="5"/>
      <c r="B108" s="5"/>
      <c r="C108" s="5">
        <v>104</v>
      </c>
      <c r="D108" s="4">
        <f t="shared" si="1"/>
        <v>-2301.4149235513</v>
      </c>
      <c r="E108" s="5"/>
      <c r="F108" s="5"/>
    </row>
    <row r="109" spans="1:6">
      <c r="A109" s="5"/>
      <c r="B109" s="5"/>
      <c r="C109" s="5">
        <v>105</v>
      </c>
      <c r="D109" s="4">
        <f t="shared" si="1"/>
        <v>-2301.4149235513</v>
      </c>
      <c r="E109" s="5"/>
      <c r="F109" s="5"/>
    </row>
    <row r="110" spans="1:6">
      <c r="A110" s="5"/>
      <c r="B110" s="5"/>
      <c r="C110" s="5">
        <v>106</v>
      </c>
      <c r="D110" s="4">
        <f t="shared" si="1"/>
        <v>-2301.4149235513</v>
      </c>
      <c r="E110" s="5"/>
      <c r="F110" s="5"/>
    </row>
    <row r="111" spans="1:6">
      <c r="A111" s="5"/>
      <c r="B111" s="5"/>
      <c r="C111" s="5">
        <v>107</v>
      </c>
      <c r="D111" s="4">
        <f t="shared" si="1"/>
        <v>-2301.4149235513</v>
      </c>
      <c r="E111" s="5"/>
      <c r="F111" s="5"/>
    </row>
    <row r="112" spans="1:6">
      <c r="A112" s="5"/>
      <c r="B112" s="5"/>
      <c r="C112" s="5">
        <v>108</v>
      </c>
      <c r="D112" s="4">
        <f t="shared" si="1"/>
        <v>-2301.4149235513</v>
      </c>
      <c r="E112" s="5"/>
      <c r="F112" s="5"/>
    </row>
    <row r="113" spans="1:6">
      <c r="A113" s="5"/>
      <c r="B113" s="5"/>
      <c r="C113" s="5">
        <v>109</v>
      </c>
      <c r="D113" s="4">
        <f t="shared" si="1"/>
        <v>-2301.4149235513</v>
      </c>
      <c r="E113" s="5"/>
      <c r="F113" s="5"/>
    </row>
    <row r="114" spans="1:6">
      <c r="A114" s="5"/>
      <c r="B114" s="5"/>
      <c r="C114" s="5">
        <v>110</v>
      </c>
      <c r="D114" s="4">
        <f t="shared" si="1"/>
        <v>-2301.4149235513</v>
      </c>
      <c r="E114" s="5"/>
      <c r="F114" s="5"/>
    </row>
    <row r="115" spans="1:6">
      <c r="A115" s="5"/>
      <c r="B115" s="5"/>
      <c r="C115" s="5">
        <v>111</v>
      </c>
      <c r="D115" s="4">
        <f t="shared" si="1"/>
        <v>-2301.4149235513</v>
      </c>
      <c r="E115" s="5"/>
      <c r="F115" s="5"/>
    </row>
    <row r="116" spans="1:6">
      <c r="A116" s="5"/>
      <c r="B116" s="5"/>
      <c r="C116" s="5">
        <v>112</v>
      </c>
      <c r="D116" s="4">
        <f t="shared" si="1"/>
        <v>-2301.4149235513</v>
      </c>
      <c r="E116" s="5"/>
      <c r="F116" s="5"/>
    </row>
    <row r="117" spans="1:6">
      <c r="A117" s="5"/>
      <c r="B117" s="5"/>
      <c r="C117" s="5">
        <v>113</v>
      </c>
      <c r="D117" s="4">
        <f t="shared" si="1"/>
        <v>-2301.4149235513</v>
      </c>
      <c r="E117" s="5"/>
      <c r="F117" s="5"/>
    </row>
    <row r="118" spans="1:6">
      <c r="A118" s="5"/>
      <c r="B118" s="5"/>
      <c r="C118" s="5">
        <v>114</v>
      </c>
      <c r="D118" s="4">
        <f t="shared" si="1"/>
        <v>-2301.4149235513</v>
      </c>
      <c r="E118" s="5"/>
      <c r="F118" s="5"/>
    </row>
    <row r="119" spans="1:6">
      <c r="A119" s="5"/>
      <c r="B119" s="5"/>
      <c r="C119" s="5">
        <v>115</v>
      </c>
      <c r="D119" s="4">
        <f t="shared" si="1"/>
        <v>-2301.4149235513</v>
      </c>
      <c r="E119" s="5"/>
      <c r="F119" s="5"/>
    </row>
    <row r="120" spans="1:6">
      <c r="A120" s="5"/>
      <c r="B120" s="5"/>
      <c r="C120" s="5">
        <v>116</v>
      </c>
      <c r="D120" s="4">
        <f t="shared" si="1"/>
        <v>-2301.4149235513</v>
      </c>
      <c r="E120" s="5"/>
      <c r="F120" s="5"/>
    </row>
    <row r="121" spans="1:6">
      <c r="A121" s="5"/>
      <c r="B121" s="5"/>
      <c r="C121" s="5">
        <v>117</v>
      </c>
      <c r="D121" s="4">
        <f t="shared" si="1"/>
        <v>-2301.4149235513</v>
      </c>
      <c r="E121" s="5"/>
      <c r="F121" s="5"/>
    </row>
    <row r="122" spans="1:6">
      <c r="A122" s="5"/>
      <c r="B122" s="5"/>
      <c r="C122" s="5">
        <v>118</v>
      </c>
      <c r="D122" s="4">
        <f t="shared" si="1"/>
        <v>-2301.4149235513</v>
      </c>
      <c r="E122" s="5"/>
      <c r="F122" s="5"/>
    </row>
    <row r="123" spans="1:6">
      <c r="A123" s="5"/>
      <c r="B123" s="5"/>
      <c r="C123" s="5">
        <v>119</v>
      </c>
      <c r="D123" s="4">
        <f t="shared" si="1"/>
        <v>-2301.4149235513</v>
      </c>
      <c r="E123" s="5"/>
      <c r="F123" s="5"/>
    </row>
    <row r="124" spans="1:6">
      <c r="A124" s="5"/>
      <c r="B124" s="5"/>
      <c r="C124" s="5">
        <v>120</v>
      </c>
      <c r="D124" s="4">
        <f t="shared" si="1"/>
        <v>-2301.4149235513</v>
      </c>
      <c r="E124" s="5"/>
      <c r="F124" s="5"/>
    </row>
    <row r="125" spans="1:6">
      <c r="A125" s="5"/>
      <c r="B125" s="5"/>
      <c r="C125" s="5">
        <v>121</v>
      </c>
      <c r="D125" s="4">
        <f t="shared" si="1"/>
        <v>-2301.4149235513</v>
      </c>
      <c r="E125" s="5"/>
      <c r="F125" s="5"/>
    </row>
    <row r="126" spans="1:6">
      <c r="A126" s="5"/>
      <c r="B126" s="5"/>
      <c r="C126" s="5">
        <v>122</v>
      </c>
      <c r="D126" s="4">
        <f t="shared" si="1"/>
        <v>-2301.4149235513</v>
      </c>
      <c r="E126" s="5"/>
      <c r="F126" s="5"/>
    </row>
    <row r="127" spans="1:6">
      <c r="A127" s="5"/>
      <c r="B127" s="5"/>
      <c r="C127" s="5">
        <v>123</v>
      </c>
      <c r="D127" s="4">
        <f t="shared" si="1"/>
        <v>-2301.4149235513</v>
      </c>
      <c r="E127" s="5"/>
      <c r="F127" s="5"/>
    </row>
    <row r="128" spans="1:6">
      <c r="A128" s="5"/>
      <c r="B128" s="5"/>
      <c r="C128" s="5">
        <v>124</v>
      </c>
      <c r="D128" s="4">
        <f t="shared" si="1"/>
        <v>-2301.4149235513</v>
      </c>
      <c r="E128" s="5"/>
      <c r="F128" s="5"/>
    </row>
    <row r="129" spans="1:6">
      <c r="A129" s="5"/>
      <c r="B129" s="5"/>
      <c r="C129" s="5">
        <v>125</v>
      </c>
      <c r="D129" s="4">
        <f t="shared" si="1"/>
        <v>-2301.4149235513</v>
      </c>
      <c r="E129" s="5"/>
      <c r="F129" s="5"/>
    </row>
    <row r="130" spans="1:6">
      <c r="A130" s="5"/>
      <c r="B130" s="5"/>
      <c r="C130" s="5">
        <v>126</v>
      </c>
      <c r="D130" s="4">
        <f t="shared" si="1"/>
        <v>-2301.4149235513</v>
      </c>
      <c r="E130" s="5"/>
      <c r="F130" s="5"/>
    </row>
    <row r="131" spans="1:6">
      <c r="A131" s="5"/>
      <c r="B131" s="5"/>
      <c r="C131" s="5">
        <v>127</v>
      </c>
      <c r="D131" s="4">
        <f t="shared" si="1"/>
        <v>-2301.4149235513</v>
      </c>
      <c r="E131" s="5"/>
      <c r="F131" s="5"/>
    </row>
    <row r="132" spans="1:6">
      <c r="A132" s="5"/>
      <c r="B132" s="5"/>
      <c r="C132" s="5">
        <v>128</v>
      </c>
      <c r="D132" s="4">
        <f t="shared" si="1"/>
        <v>-2301.4149235513</v>
      </c>
      <c r="E132" s="5"/>
      <c r="F132" s="5"/>
    </row>
    <row r="133" spans="1:6">
      <c r="A133" s="5"/>
      <c r="B133" s="5"/>
      <c r="C133" s="5">
        <v>129</v>
      </c>
      <c r="D133" s="4">
        <f t="shared" si="1"/>
        <v>-2301.4149235513</v>
      </c>
      <c r="E133" s="5"/>
      <c r="F133" s="5"/>
    </row>
    <row r="134" spans="1:6">
      <c r="A134" s="5"/>
      <c r="B134" s="5"/>
      <c r="C134" s="5">
        <v>130</v>
      </c>
      <c r="D134" s="4">
        <f t="shared" ref="D134:D197" si="2">D133</f>
        <v>-2301.4149235513</v>
      </c>
      <c r="E134" s="5"/>
      <c r="F134" s="5"/>
    </row>
    <row r="135" spans="1:6">
      <c r="A135" s="5"/>
      <c r="B135" s="5"/>
      <c r="C135" s="5">
        <v>131</v>
      </c>
      <c r="D135" s="4">
        <f t="shared" si="2"/>
        <v>-2301.4149235513</v>
      </c>
      <c r="E135" s="5"/>
      <c r="F135" s="5"/>
    </row>
    <row r="136" spans="1:6">
      <c r="A136" s="5"/>
      <c r="B136" s="5"/>
      <c r="C136" s="5">
        <v>132</v>
      </c>
      <c r="D136" s="4">
        <f t="shared" si="2"/>
        <v>-2301.4149235513</v>
      </c>
      <c r="E136" s="5"/>
      <c r="F136" s="5"/>
    </row>
    <row r="137" spans="1:6">
      <c r="A137" s="5"/>
      <c r="B137" s="5"/>
      <c r="C137" s="5">
        <v>133</v>
      </c>
      <c r="D137" s="4">
        <f t="shared" si="2"/>
        <v>-2301.4149235513</v>
      </c>
      <c r="E137" s="5"/>
      <c r="F137" s="5"/>
    </row>
    <row r="138" spans="1:6">
      <c r="A138" s="5"/>
      <c r="B138" s="5"/>
      <c r="C138" s="5">
        <v>134</v>
      </c>
      <c r="D138" s="4">
        <f t="shared" si="2"/>
        <v>-2301.4149235513</v>
      </c>
      <c r="E138" s="5"/>
      <c r="F138" s="5"/>
    </row>
    <row r="139" spans="1:6">
      <c r="A139" s="5"/>
      <c r="B139" s="5"/>
      <c r="C139" s="5">
        <v>135</v>
      </c>
      <c r="D139" s="4">
        <f t="shared" si="2"/>
        <v>-2301.4149235513</v>
      </c>
      <c r="E139" s="5"/>
      <c r="F139" s="5"/>
    </row>
    <row r="140" spans="1:6">
      <c r="A140" s="5"/>
      <c r="B140" s="5"/>
      <c r="C140" s="5">
        <v>136</v>
      </c>
      <c r="D140" s="4">
        <f t="shared" si="2"/>
        <v>-2301.4149235513</v>
      </c>
      <c r="E140" s="5"/>
      <c r="F140" s="5"/>
    </row>
    <row r="141" spans="1:6">
      <c r="A141" s="5"/>
      <c r="B141" s="5"/>
      <c r="C141" s="5">
        <v>137</v>
      </c>
      <c r="D141" s="4">
        <f t="shared" si="2"/>
        <v>-2301.4149235513</v>
      </c>
      <c r="E141" s="5"/>
      <c r="F141" s="5"/>
    </row>
    <row r="142" spans="1:6">
      <c r="A142" s="5"/>
      <c r="B142" s="5"/>
      <c r="C142" s="5">
        <v>138</v>
      </c>
      <c r="D142" s="4">
        <f t="shared" si="2"/>
        <v>-2301.4149235513</v>
      </c>
      <c r="E142" s="5"/>
      <c r="F142" s="5"/>
    </row>
    <row r="143" spans="1:6">
      <c r="A143" s="5"/>
      <c r="B143" s="5"/>
      <c r="C143" s="5">
        <v>139</v>
      </c>
      <c r="D143" s="4">
        <f t="shared" si="2"/>
        <v>-2301.4149235513</v>
      </c>
      <c r="E143" s="5"/>
      <c r="F143" s="5"/>
    </row>
    <row r="144" spans="1:6">
      <c r="A144" s="5"/>
      <c r="B144" s="5"/>
      <c r="C144" s="5">
        <v>140</v>
      </c>
      <c r="D144" s="4">
        <f t="shared" si="2"/>
        <v>-2301.4149235513</v>
      </c>
      <c r="E144" s="5"/>
      <c r="F144" s="5"/>
    </row>
    <row r="145" spans="1:6">
      <c r="A145" s="5"/>
      <c r="B145" s="5"/>
      <c r="C145" s="5">
        <v>141</v>
      </c>
      <c r="D145" s="4">
        <f t="shared" si="2"/>
        <v>-2301.4149235513</v>
      </c>
      <c r="E145" s="5"/>
      <c r="F145" s="5"/>
    </row>
    <row r="146" spans="1:6">
      <c r="A146" s="5"/>
      <c r="B146" s="5"/>
      <c r="C146" s="5">
        <v>142</v>
      </c>
      <c r="D146" s="4">
        <f t="shared" si="2"/>
        <v>-2301.4149235513</v>
      </c>
      <c r="E146" s="5"/>
      <c r="F146" s="5"/>
    </row>
    <row r="147" spans="1:6">
      <c r="A147" s="5"/>
      <c r="B147" s="5"/>
      <c r="C147" s="5">
        <v>143</v>
      </c>
      <c r="D147" s="4">
        <f t="shared" si="2"/>
        <v>-2301.4149235513</v>
      </c>
      <c r="E147" s="5"/>
      <c r="F147" s="5"/>
    </row>
    <row r="148" spans="1:6">
      <c r="A148" s="5"/>
      <c r="B148" s="5"/>
      <c r="C148" s="5">
        <v>144</v>
      </c>
      <c r="D148" s="4">
        <f t="shared" si="2"/>
        <v>-2301.4149235513</v>
      </c>
      <c r="E148" s="5"/>
      <c r="F148" s="5"/>
    </row>
    <row r="149" spans="1:6">
      <c r="A149" s="5"/>
      <c r="B149" s="5"/>
      <c r="C149" s="5">
        <v>145</v>
      </c>
      <c r="D149" s="4">
        <f t="shared" si="2"/>
        <v>-2301.4149235513</v>
      </c>
      <c r="E149" s="5"/>
      <c r="F149" s="5"/>
    </row>
    <row r="150" spans="1:6">
      <c r="A150" s="5"/>
      <c r="B150" s="5"/>
      <c r="C150" s="5">
        <v>146</v>
      </c>
      <c r="D150" s="4">
        <f t="shared" si="2"/>
        <v>-2301.4149235513</v>
      </c>
      <c r="E150" s="5"/>
      <c r="F150" s="5"/>
    </row>
    <row r="151" spans="1:6">
      <c r="A151" s="5"/>
      <c r="B151" s="5"/>
      <c r="C151" s="5">
        <v>147</v>
      </c>
      <c r="D151" s="4">
        <f t="shared" si="2"/>
        <v>-2301.4149235513</v>
      </c>
      <c r="E151" s="5"/>
      <c r="F151" s="5"/>
    </row>
    <row r="152" spans="1:6">
      <c r="A152" s="5"/>
      <c r="B152" s="5"/>
      <c r="C152" s="5">
        <v>148</v>
      </c>
      <c r="D152" s="4">
        <f t="shared" si="2"/>
        <v>-2301.4149235513</v>
      </c>
      <c r="E152" s="5"/>
      <c r="F152" s="5"/>
    </row>
    <row r="153" spans="1:6">
      <c r="A153" s="5"/>
      <c r="B153" s="5"/>
      <c r="C153" s="5">
        <v>149</v>
      </c>
      <c r="D153" s="4">
        <f t="shared" si="2"/>
        <v>-2301.4149235513</v>
      </c>
      <c r="E153" s="5"/>
      <c r="F153" s="5"/>
    </row>
    <row r="154" spans="1:6">
      <c r="A154" s="5"/>
      <c r="B154" s="5"/>
      <c r="C154" s="5">
        <v>150</v>
      </c>
      <c r="D154" s="4">
        <f t="shared" si="2"/>
        <v>-2301.4149235513</v>
      </c>
      <c r="E154" s="5"/>
      <c r="F154" s="5"/>
    </row>
    <row r="155" spans="1:6">
      <c r="A155" s="5"/>
      <c r="B155" s="5"/>
      <c r="C155" s="5">
        <v>151</v>
      </c>
      <c r="D155" s="4">
        <f t="shared" si="2"/>
        <v>-2301.4149235513</v>
      </c>
      <c r="E155" s="5"/>
      <c r="F155" s="5"/>
    </row>
    <row r="156" spans="1:6">
      <c r="A156" s="5"/>
      <c r="B156" s="5"/>
      <c r="C156" s="5">
        <v>152</v>
      </c>
      <c r="D156" s="4">
        <f t="shared" si="2"/>
        <v>-2301.4149235513</v>
      </c>
      <c r="E156" s="5"/>
      <c r="F156" s="5"/>
    </row>
    <row r="157" spans="1:6">
      <c r="A157" s="5"/>
      <c r="B157" s="5"/>
      <c r="C157" s="5">
        <v>153</v>
      </c>
      <c r="D157" s="4">
        <f t="shared" si="2"/>
        <v>-2301.4149235513</v>
      </c>
      <c r="E157" s="5"/>
      <c r="F157" s="5"/>
    </row>
    <row r="158" spans="1:6">
      <c r="A158" s="5"/>
      <c r="B158" s="5"/>
      <c r="C158" s="5">
        <v>154</v>
      </c>
      <c r="D158" s="4">
        <f t="shared" si="2"/>
        <v>-2301.4149235513</v>
      </c>
      <c r="E158" s="5"/>
      <c r="F158" s="5"/>
    </row>
    <row r="159" spans="1:6">
      <c r="A159" s="5"/>
      <c r="B159" s="5"/>
      <c r="C159" s="5">
        <v>155</v>
      </c>
      <c r="D159" s="4">
        <f t="shared" si="2"/>
        <v>-2301.4149235513</v>
      </c>
      <c r="E159" s="5"/>
      <c r="F159" s="5"/>
    </row>
    <row r="160" spans="1:6">
      <c r="A160" s="5"/>
      <c r="B160" s="5"/>
      <c r="C160" s="5">
        <v>156</v>
      </c>
      <c r="D160" s="4">
        <f t="shared" si="2"/>
        <v>-2301.4149235513</v>
      </c>
      <c r="E160" s="5"/>
      <c r="F160" s="5"/>
    </row>
    <row r="161" spans="1:6">
      <c r="A161" s="5"/>
      <c r="B161" s="5"/>
      <c r="C161" s="5">
        <v>157</v>
      </c>
      <c r="D161" s="4">
        <f t="shared" si="2"/>
        <v>-2301.4149235513</v>
      </c>
      <c r="E161" s="5"/>
      <c r="F161" s="5"/>
    </row>
    <row r="162" spans="1:6">
      <c r="A162" s="5"/>
      <c r="B162" s="5"/>
      <c r="C162" s="5">
        <v>158</v>
      </c>
      <c r="D162" s="4">
        <f t="shared" si="2"/>
        <v>-2301.4149235513</v>
      </c>
      <c r="E162" s="5"/>
      <c r="F162" s="5"/>
    </row>
    <row r="163" spans="1:6">
      <c r="A163" s="5"/>
      <c r="B163" s="5"/>
      <c r="C163" s="5">
        <v>159</v>
      </c>
      <c r="D163" s="4">
        <f t="shared" si="2"/>
        <v>-2301.4149235513</v>
      </c>
      <c r="E163" s="5"/>
      <c r="F163" s="5"/>
    </row>
    <row r="164" spans="1:6">
      <c r="A164" s="5"/>
      <c r="B164" s="5"/>
      <c r="C164" s="5">
        <v>160</v>
      </c>
      <c r="D164" s="4">
        <f t="shared" si="2"/>
        <v>-2301.4149235513</v>
      </c>
      <c r="E164" s="5"/>
      <c r="F164" s="5"/>
    </row>
    <row r="165" spans="1:6">
      <c r="A165" s="5"/>
      <c r="B165" s="5"/>
      <c r="C165" s="5">
        <v>161</v>
      </c>
      <c r="D165" s="4">
        <f t="shared" si="2"/>
        <v>-2301.4149235513</v>
      </c>
      <c r="E165" s="5"/>
      <c r="F165" s="5"/>
    </row>
    <row r="166" spans="1:6">
      <c r="A166" s="5"/>
      <c r="B166" s="5"/>
      <c r="C166" s="5">
        <v>162</v>
      </c>
      <c r="D166" s="4">
        <f t="shared" si="2"/>
        <v>-2301.4149235513</v>
      </c>
      <c r="E166" s="5"/>
      <c r="F166" s="5"/>
    </row>
    <row r="167" spans="1:6">
      <c r="A167" s="5"/>
      <c r="B167" s="5"/>
      <c r="C167" s="5">
        <v>163</v>
      </c>
      <c r="D167" s="4">
        <f t="shared" si="2"/>
        <v>-2301.4149235513</v>
      </c>
      <c r="E167" s="5"/>
      <c r="F167" s="5"/>
    </row>
    <row r="168" spans="1:6">
      <c r="A168" s="5"/>
      <c r="B168" s="5"/>
      <c r="C168" s="5">
        <v>164</v>
      </c>
      <c r="D168" s="4">
        <f t="shared" si="2"/>
        <v>-2301.4149235513</v>
      </c>
      <c r="E168" s="5"/>
      <c r="F168" s="5"/>
    </row>
    <row r="169" spans="1:6">
      <c r="A169" s="5"/>
      <c r="B169" s="5"/>
      <c r="C169" s="5">
        <v>165</v>
      </c>
      <c r="D169" s="4">
        <f t="shared" si="2"/>
        <v>-2301.4149235513</v>
      </c>
      <c r="E169" s="5"/>
      <c r="F169" s="5"/>
    </row>
    <row r="170" spans="1:6">
      <c r="A170" s="5"/>
      <c r="B170" s="5"/>
      <c r="C170" s="5">
        <v>166</v>
      </c>
      <c r="D170" s="4">
        <f t="shared" si="2"/>
        <v>-2301.4149235513</v>
      </c>
      <c r="E170" s="5"/>
      <c r="F170" s="5"/>
    </row>
    <row r="171" spans="1:6">
      <c r="A171" s="5"/>
      <c r="B171" s="5"/>
      <c r="C171" s="5">
        <v>167</v>
      </c>
      <c r="D171" s="4">
        <f t="shared" si="2"/>
        <v>-2301.4149235513</v>
      </c>
      <c r="E171" s="5"/>
      <c r="F171" s="5"/>
    </row>
    <row r="172" spans="1:6">
      <c r="A172" s="5"/>
      <c r="B172" s="5"/>
      <c r="C172" s="5">
        <v>168</v>
      </c>
      <c r="D172" s="4">
        <f t="shared" si="2"/>
        <v>-2301.4149235513</v>
      </c>
      <c r="E172" s="5"/>
      <c r="F172" s="5"/>
    </row>
    <row r="173" spans="1:6">
      <c r="A173" s="5"/>
      <c r="B173" s="5"/>
      <c r="C173" s="5">
        <v>169</v>
      </c>
      <c r="D173" s="4">
        <f t="shared" si="2"/>
        <v>-2301.4149235513</v>
      </c>
      <c r="E173" s="5"/>
      <c r="F173" s="5"/>
    </row>
    <row r="174" spans="1:6">
      <c r="A174" s="5"/>
      <c r="B174" s="5"/>
      <c r="C174" s="5">
        <v>170</v>
      </c>
      <c r="D174" s="4">
        <f t="shared" si="2"/>
        <v>-2301.4149235513</v>
      </c>
      <c r="E174" s="5"/>
      <c r="F174" s="5"/>
    </row>
    <row r="175" spans="1:6">
      <c r="A175" s="5"/>
      <c r="B175" s="5"/>
      <c r="C175" s="5">
        <v>171</v>
      </c>
      <c r="D175" s="4">
        <f t="shared" si="2"/>
        <v>-2301.4149235513</v>
      </c>
      <c r="E175" s="5"/>
      <c r="F175" s="5"/>
    </row>
    <row r="176" spans="1:6">
      <c r="A176" s="5"/>
      <c r="B176" s="5"/>
      <c r="C176" s="5">
        <v>172</v>
      </c>
      <c r="D176" s="4">
        <f t="shared" si="2"/>
        <v>-2301.4149235513</v>
      </c>
      <c r="E176" s="5"/>
      <c r="F176" s="5"/>
    </row>
    <row r="177" spans="1:6">
      <c r="A177" s="5"/>
      <c r="B177" s="5"/>
      <c r="C177" s="5">
        <v>173</v>
      </c>
      <c r="D177" s="4">
        <f t="shared" si="2"/>
        <v>-2301.4149235513</v>
      </c>
      <c r="E177" s="5"/>
      <c r="F177" s="5"/>
    </row>
    <row r="178" spans="1:6">
      <c r="A178" s="5"/>
      <c r="B178" s="5"/>
      <c r="C178" s="5">
        <v>174</v>
      </c>
      <c r="D178" s="4">
        <f t="shared" si="2"/>
        <v>-2301.4149235513</v>
      </c>
      <c r="E178" s="5"/>
      <c r="F178" s="5"/>
    </row>
    <row r="179" spans="1:6">
      <c r="A179" s="5"/>
      <c r="B179" s="5"/>
      <c r="C179" s="5">
        <v>175</v>
      </c>
      <c r="D179" s="4">
        <f t="shared" si="2"/>
        <v>-2301.4149235513</v>
      </c>
      <c r="E179" s="5"/>
      <c r="F179" s="5"/>
    </row>
    <row r="180" spans="1:6">
      <c r="A180" s="5"/>
      <c r="B180" s="5"/>
      <c r="C180" s="5">
        <v>176</v>
      </c>
      <c r="D180" s="4">
        <f t="shared" si="2"/>
        <v>-2301.4149235513</v>
      </c>
      <c r="E180" s="5"/>
      <c r="F180" s="5"/>
    </row>
    <row r="181" spans="1:6">
      <c r="A181" s="5"/>
      <c r="B181" s="5"/>
      <c r="C181" s="5">
        <v>177</v>
      </c>
      <c r="D181" s="4">
        <f t="shared" si="2"/>
        <v>-2301.4149235513</v>
      </c>
      <c r="E181" s="5"/>
      <c r="F181" s="5"/>
    </row>
    <row r="182" spans="1:6">
      <c r="A182" s="5"/>
      <c r="B182" s="5"/>
      <c r="C182" s="5">
        <v>178</v>
      </c>
      <c r="D182" s="4">
        <f t="shared" si="2"/>
        <v>-2301.4149235513</v>
      </c>
      <c r="E182" s="5"/>
      <c r="F182" s="5"/>
    </row>
    <row r="183" spans="1:6">
      <c r="A183" s="5"/>
      <c r="B183" s="5"/>
      <c r="C183" s="5">
        <v>179</v>
      </c>
      <c r="D183" s="4">
        <f t="shared" si="2"/>
        <v>-2301.4149235513</v>
      </c>
      <c r="E183" s="5"/>
      <c r="F183" s="5"/>
    </row>
    <row r="184" spans="1:6">
      <c r="A184" s="5"/>
      <c r="B184" s="5"/>
      <c r="C184" s="5">
        <v>180</v>
      </c>
      <c r="D184" s="4">
        <f t="shared" si="2"/>
        <v>-2301.4149235513</v>
      </c>
      <c r="E184" s="5"/>
      <c r="F184" s="5"/>
    </row>
    <row r="185" spans="1:6">
      <c r="A185" s="5"/>
      <c r="B185" s="5"/>
      <c r="C185" s="5">
        <v>181</v>
      </c>
      <c r="D185" s="4">
        <f t="shared" si="2"/>
        <v>-2301.4149235513</v>
      </c>
      <c r="E185" s="5"/>
      <c r="F185" s="5"/>
    </row>
    <row r="186" spans="1:6">
      <c r="A186" s="5"/>
      <c r="B186" s="5"/>
      <c r="C186" s="5">
        <v>182</v>
      </c>
      <c r="D186" s="4">
        <f t="shared" si="2"/>
        <v>-2301.4149235513</v>
      </c>
      <c r="E186" s="5"/>
      <c r="F186" s="5"/>
    </row>
    <row r="187" spans="1:6">
      <c r="A187" s="5"/>
      <c r="B187" s="5"/>
      <c r="C187" s="5">
        <v>183</v>
      </c>
      <c r="D187" s="4">
        <f t="shared" si="2"/>
        <v>-2301.4149235513</v>
      </c>
      <c r="E187" s="5"/>
      <c r="F187" s="5"/>
    </row>
    <row r="188" spans="1:6">
      <c r="A188" s="5"/>
      <c r="B188" s="5"/>
      <c r="C188" s="5">
        <v>184</v>
      </c>
      <c r="D188" s="4">
        <f t="shared" si="2"/>
        <v>-2301.4149235513</v>
      </c>
      <c r="E188" s="5"/>
      <c r="F188" s="5"/>
    </row>
    <row r="189" spans="1:6">
      <c r="A189" s="5"/>
      <c r="B189" s="5"/>
      <c r="C189" s="5">
        <v>185</v>
      </c>
      <c r="D189" s="4">
        <f t="shared" si="2"/>
        <v>-2301.4149235513</v>
      </c>
      <c r="E189" s="5"/>
      <c r="F189" s="5"/>
    </row>
    <row r="190" spans="1:6">
      <c r="A190" s="5"/>
      <c r="B190" s="5"/>
      <c r="C190" s="5">
        <v>186</v>
      </c>
      <c r="D190" s="4">
        <f t="shared" si="2"/>
        <v>-2301.4149235513</v>
      </c>
      <c r="E190" s="5"/>
      <c r="F190" s="5"/>
    </row>
    <row r="191" spans="1:6">
      <c r="A191" s="5"/>
      <c r="B191" s="5"/>
      <c r="C191" s="5">
        <v>187</v>
      </c>
      <c r="D191" s="4">
        <f t="shared" si="2"/>
        <v>-2301.4149235513</v>
      </c>
      <c r="E191" s="5"/>
      <c r="F191" s="5"/>
    </row>
    <row r="192" spans="1:6">
      <c r="A192" s="5"/>
      <c r="B192" s="5"/>
      <c r="C192" s="5">
        <v>188</v>
      </c>
      <c r="D192" s="4">
        <f t="shared" si="2"/>
        <v>-2301.4149235513</v>
      </c>
      <c r="E192" s="5"/>
      <c r="F192" s="5"/>
    </row>
    <row r="193" spans="1:6">
      <c r="A193" s="5"/>
      <c r="B193" s="5"/>
      <c r="C193" s="5">
        <v>189</v>
      </c>
      <c r="D193" s="4">
        <f t="shared" si="2"/>
        <v>-2301.4149235513</v>
      </c>
      <c r="E193" s="5"/>
      <c r="F193" s="5"/>
    </row>
    <row r="194" spans="1:6">
      <c r="A194" s="5"/>
      <c r="B194" s="5"/>
      <c r="C194" s="5">
        <v>190</v>
      </c>
      <c r="D194" s="4">
        <f t="shared" si="2"/>
        <v>-2301.4149235513</v>
      </c>
      <c r="E194" s="5"/>
      <c r="F194" s="5"/>
    </row>
    <row r="195" spans="1:6">
      <c r="A195" s="5"/>
      <c r="B195" s="5"/>
      <c r="C195" s="5">
        <v>191</v>
      </c>
      <c r="D195" s="4">
        <f t="shared" si="2"/>
        <v>-2301.4149235513</v>
      </c>
      <c r="E195" s="5"/>
      <c r="F195" s="5"/>
    </row>
    <row r="196" spans="1:6">
      <c r="A196" s="5"/>
      <c r="B196" s="5"/>
      <c r="C196" s="5">
        <v>192</v>
      </c>
      <c r="D196" s="4">
        <f t="shared" si="2"/>
        <v>-2301.4149235513</v>
      </c>
      <c r="E196" s="5"/>
      <c r="F196" s="5"/>
    </row>
    <row r="197" spans="1:6">
      <c r="A197" s="5"/>
      <c r="B197" s="5"/>
      <c r="C197" s="5">
        <v>193</v>
      </c>
      <c r="D197" s="4">
        <f t="shared" si="2"/>
        <v>-2301.4149235513</v>
      </c>
      <c r="E197" s="5"/>
      <c r="F197" s="5"/>
    </row>
    <row r="198" spans="1:6">
      <c r="A198" s="5"/>
      <c r="B198" s="5"/>
      <c r="C198" s="5">
        <v>194</v>
      </c>
      <c r="D198" s="4">
        <f t="shared" ref="D198:D261" si="3">D197</f>
        <v>-2301.4149235513</v>
      </c>
      <c r="E198" s="5"/>
      <c r="F198" s="5"/>
    </row>
    <row r="199" spans="1:6">
      <c r="A199" s="5"/>
      <c r="B199" s="5"/>
      <c r="C199" s="5">
        <v>195</v>
      </c>
      <c r="D199" s="4">
        <f t="shared" si="3"/>
        <v>-2301.4149235513</v>
      </c>
      <c r="E199" s="5"/>
      <c r="F199" s="5"/>
    </row>
    <row r="200" spans="1:6">
      <c r="A200" s="5"/>
      <c r="B200" s="5"/>
      <c r="C200" s="5">
        <v>196</v>
      </c>
      <c r="D200" s="4">
        <f t="shared" si="3"/>
        <v>-2301.4149235513</v>
      </c>
      <c r="E200" s="5"/>
      <c r="F200" s="5"/>
    </row>
    <row r="201" spans="1:6">
      <c r="A201" s="5"/>
      <c r="B201" s="5"/>
      <c r="C201" s="5">
        <v>197</v>
      </c>
      <c r="D201" s="4">
        <f t="shared" si="3"/>
        <v>-2301.4149235513</v>
      </c>
      <c r="E201" s="5"/>
      <c r="F201" s="5"/>
    </row>
    <row r="202" spans="1:6">
      <c r="A202" s="5"/>
      <c r="B202" s="5"/>
      <c r="C202" s="5">
        <v>198</v>
      </c>
      <c r="D202" s="4">
        <f t="shared" si="3"/>
        <v>-2301.4149235513</v>
      </c>
      <c r="E202" s="5"/>
      <c r="F202" s="5"/>
    </row>
    <row r="203" spans="1:6">
      <c r="A203" s="5"/>
      <c r="B203" s="5"/>
      <c r="C203" s="5">
        <v>199</v>
      </c>
      <c r="D203" s="4">
        <f t="shared" si="3"/>
        <v>-2301.4149235513</v>
      </c>
      <c r="E203" s="5"/>
      <c r="F203" s="5"/>
    </row>
    <row r="204" spans="1:6">
      <c r="A204" s="5"/>
      <c r="B204" s="5"/>
      <c r="C204" s="5">
        <v>200</v>
      </c>
      <c r="D204" s="4">
        <f t="shared" si="3"/>
        <v>-2301.4149235513</v>
      </c>
      <c r="E204" s="5"/>
      <c r="F204" s="5"/>
    </row>
    <row r="205" spans="1:6">
      <c r="A205" s="5"/>
      <c r="B205" s="5"/>
      <c r="C205" s="5">
        <v>201</v>
      </c>
      <c r="D205" s="4">
        <f t="shared" si="3"/>
        <v>-2301.4149235513</v>
      </c>
      <c r="E205" s="5"/>
      <c r="F205" s="5"/>
    </row>
    <row r="206" spans="1:6">
      <c r="A206" s="5"/>
      <c r="B206" s="5"/>
      <c r="C206" s="5">
        <v>202</v>
      </c>
      <c r="D206" s="4">
        <f t="shared" si="3"/>
        <v>-2301.4149235513</v>
      </c>
      <c r="E206" s="5"/>
      <c r="F206" s="5"/>
    </row>
    <row r="207" spans="1:6">
      <c r="A207" s="5"/>
      <c r="B207" s="5"/>
      <c r="C207" s="5">
        <v>203</v>
      </c>
      <c r="D207" s="4">
        <f t="shared" si="3"/>
        <v>-2301.4149235513</v>
      </c>
      <c r="E207" s="5"/>
      <c r="F207" s="5"/>
    </row>
    <row r="208" spans="1:6">
      <c r="A208" s="5"/>
      <c r="B208" s="5"/>
      <c r="C208" s="5">
        <v>204</v>
      </c>
      <c r="D208" s="4">
        <f t="shared" si="3"/>
        <v>-2301.4149235513</v>
      </c>
      <c r="E208" s="5"/>
      <c r="F208" s="5"/>
    </row>
    <row r="209" spans="1:6">
      <c r="A209" s="5"/>
      <c r="B209" s="5"/>
      <c r="C209" s="5">
        <v>205</v>
      </c>
      <c r="D209" s="4">
        <f t="shared" si="3"/>
        <v>-2301.4149235513</v>
      </c>
      <c r="E209" s="5"/>
      <c r="F209" s="5"/>
    </row>
    <row r="210" spans="1:6">
      <c r="A210" s="5"/>
      <c r="B210" s="5"/>
      <c r="C210" s="5">
        <v>206</v>
      </c>
      <c r="D210" s="4">
        <f t="shared" si="3"/>
        <v>-2301.4149235513</v>
      </c>
      <c r="E210" s="5"/>
      <c r="F210" s="5"/>
    </row>
    <row r="211" spans="1:6">
      <c r="A211" s="5"/>
      <c r="B211" s="5"/>
      <c r="C211" s="5">
        <v>207</v>
      </c>
      <c r="D211" s="4">
        <f t="shared" si="3"/>
        <v>-2301.4149235513</v>
      </c>
      <c r="E211" s="5"/>
      <c r="F211" s="5"/>
    </row>
    <row r="212" spans="1:6">
      <c r="A212" s="5"/>
      <c r="B212" s="5"/>
      <c r="C212" s="5">
        <v>208</v>
      </c>
      <c r="D212" s="4">
        <f t="shared" si="3"/>
        <v>-2301.4149235513</v>
      </c>
      <c r="E212" s="5"/>
      <c r="F212" s="5"/>
    </row>
    <row r="213" spans="1:6">
      <c r="A213" s="5"/>
      <c r="B213" s="5"/>
      <c r="C213" s="5">
        <v>209</v>
      </c>
      <c r="D213" s="4">
        <f t="shared" si="3"/>
        <v>-2301.4149235513</v>
      </c>
      <c r="E213" s="5"/>
      <c r="F213" s="5"/>
    </row>
    <row r="214" spans="1:6">
      <c r="A214" s="5"/>
      <c r="B214" s="5"/>
      <c r="C214" s="5">
        <v>210</v>
      </c>
      <c r="D214" s="4">
        <f t="shared" si="3"/>
        <v>-2301.4149235513</v>
      </c>
      <c r="E214" s="5"/>
      <c r="F214" s="5"/>
    </row>
    <row r="215" spans="1:6">
      <c r="A215" s="5"/>
      <c r="B215" s="5"/>
      <c r="C215" s="5">
        <v>211</v>
      </c>
      <c r="D215" s="4">
        <f t="shared" si="3"/>
        <v>-2301.4149235513</v>
      </c>
      <c r="E215" s="5"/>
      <c r="F215" s="5"/>
    </row>
    <row r="216" spans="1:6">
      <c r="A216" s="5"/>
      <c r="B216" s="5"/>
      <c r="C216" s="5">
        <v>212</v>
      </c>
      <c r="D216" s="4">
        <f t="shared" si="3"/>
        <v>-2301.4149235513</v>
      </c>
      <c r="E216" s="5"/>
      <c r="F216" s="5"/>
    </row>
    <row r="217" spans="1:6">
      <c r="A217" s="5"/>
      <c r="B217" s="5"/>
      <c r="C217" s="5">
        <v>213</v>
      </c>
      <c r="D217" s="4">
        <f t="shared" si="3"/>
        <v>-2301.4149235513</v>
      </c>
      <c r="E217" s="5"/>
      <c r="F217" s="5"/>
    </row>
    <row r="218" spans="1:6">
      <c r="A218" s="5"/>
      <c r="B218" s="5"/>
      <c r="C218" s="5">
        <v>214</v>
      </c>
      <c r="D218" s="4">
        <f t="shared" si="3"/>
        <v>-2301.4149235513</v>
      </c>
      <c r="E218" s="5"/>
      <c r="F218" s="5"/>
    </row>
    <row r="219" spans="1:6">
      <c r="A219" s="5"/>
      <c r="B219" s="5"/>
      <c r="C219" s="5">
        <v>215</v>
      </c>
      <c r="D219" s="4">
        <f t="shared" si="3"/>
        <v>-2301.4149235513</v>
      </c>
      <c r="E219" s="5"/>
      <c r="F219" s="5"/>
    </row>
    <row r="220" spans="1:6">
      <c r="A220" s="5"/>
      <c r="B220" s="5"/>
      <c r="C220" s="5">
        <v>216</v>
      </c>
      <c r="D220" s="4">
        <f t="shared" si="3"/>
        <v>-2301.4149235513</v>
      </c>
      <c r="E220" s="5"/>
      <c r="F220" s="5"/>
    </row>
    <row r="221" spans="1:6">
      <c r="A221" s="5"/>
      <c r="B221" s="5"/>
      <c r="C221" s="5">
        <v>217</v>
      </c>
      <c r="D221" s="4">
        <f t="shared" si="3"/>
        <v>-2301.4149235513</v>
      </c>
      <c r="E221" s="5"/>
      <c r="F221" s="5"/>
    </row>
    <row r="222" spans="1:6">
      <c r="A222" s="5"/>
      <c r="B222" s="5"/>
      <c r="C222" s="5">
        <v>218</v>
      </c>
      <c r="D222" s="4">
        <f t="shared" si="3"/>
        <v>-2301.4149235513</v>
      </c>
      <c r="E222" s="5"/>
      <c r="F222" s="5"/>
    </row>
    <row r="223" spans="1:6">
      <c r="A223" s="5"/>
      <c r="B223" s="5"/>
      <c r="C223" s="5">
        <v>219</v>
      </c>
      <c r="D223" s="4">
        <f t="shared" si="3"/>
        <v>-2301.4149235513</v>
      </c>
      <c r="E223" s="5"/>
      <c r="F223" s="5"/>
    </row>
    <row r="224" spans="1:6">
      <c r="A224" s="5"/>
      <c r="B224" s="5"/>
      <c r="C224" s="5">
        <v>220</v>
      </c>
      <c r="D224" s="4">
        <f t="shared" si="3"/>
        <v>-2301.4149235513</v>
      </c>
      <c r="E224" s="5"/>
      <c r="F224" s="5"/>
    </row>
    <row r="225" spans="1:6">
      <c r="A225" s="5"/>
      <c r="B225" s="5"/>
      <c r="C225" s="5">
        <v>221</v>
      </c>
      <c r="D225" s="4">
        <f t="shared" si="3"/>
        <v>-2301.4149235513</v>
      </c>
      <c r="E225" s="5"/>
      <c r="F225" s="5"/>
    </row>
    <row r="226" spans="1:6">
      <c r="A226" s="5"/>
      <c r="B226" s="5"/>
      <c r="C226" s="5">
        <v>222</v>
      </c>
      <c r="D226" s="4">
        <f t="shared" si="3"/>
        <v>-2301.4149235513</v>
      </c>
      <c r="E226" s="5"/>
      <c r="F226" s="5"/>
    </row>
    <row r="227" spans="1:6">
      <c r="A227" s="5"/>
      <c r="B227" s="5"/>
      <c r="C227" s="5">
        <v>223</v>
      </c>
      <c r="D227" s="4">
        <f t="shared" si="3"/>
        <v>-2301.4149235513</v>
      </c>
      <c r="E227" s="5"/>
      <c r="F227" s="5"/>
    </row>
    <row r="228" spans="1:6">
      <c r="A228" s="5"/>
      <c r="B228" s="5"/>
      <c r="C228" s="5">
        <v>224</v>
      </c>
      <c r="D228" s="4">
        <f t="shared" si="3"/>
        <v>-2301.4149235513</v>
      </c>
      <c r="E228" s="5"/>
      <c r="F228" s="5"/>
    </row>
    <row r="229" spans="1:6">
      <c r="A229" s="5"/>
      <c r="B229" s="5"/>
      <c r="C229" s="5">
        <v>225</v>
      </c>
      <c r="D229" s="4">
        <f t="shared" si="3"/>
        <v>-2301.4149235513</v>
      </c>
      <c r="E229" s="5"/>
      <c r="F229" s="5"/>
    </row>
    <row r="230" spans="1:6">
      <c r="A230" s="5"/>
      <c r="B230" s="5"/>
      <c r="C230" s="5">
        <v>226</v>
      </c>
      <c r="D230" s="4">
        <f t="shared" si="3"/>
        <v>-2301.4149235513</v>
      </c>
      <c r="E230" s="5"/>
      <c r="F230" s="5"/>
    </row>
    <row r="231" spans="1:6">
      <c r="A231" s="5"/>
      <c r="B231" s="5"/>
      <c r="C231" s="5">
        <v>227</v>
      </c>
      <c r="D231" s="4">
        <f t="shared" si="3"/>
        <v>-2301.4149235513</v>
      </c>
      <c r="E231" s="5"/>
      <c r="F231" s="5"/>
    </row>
    <row r="232" spans="1:6">
      <c r="A232" s="5"/>
      <c r="B232" s="5"/>
      <c r="C232" s="5">
        <v>228</v>
      </c>
      <c r="D232" s="4">
        <f t="shared" si="3"/>
        <v>-2301.4149235513</v>
      </c>
      <c r="E232" s="5"/>
      <c r="F232" s="5"/>
    </row>
    <row r="233" spans="1:6">
      <c r="A233" s="5"/>
      <c r="B233" s="5"/>
      <c r="C233" s="5">
        <v>229</v>
      </c>
      <c r="D233" s="4">
        <f t="shared" si="3"/>
        <v>-2301.4149235513</v>
      </c>
      <c r="E233" s="5"/>
      <c r="F233" s="5"/>
    </row>
    <row r="234" spans="1:6">
      <c r="A234" s="5"/>
      <c r="B234" s="5"/>
      <c r="C234" s="5">
        <v>230</v>
      </c>
      <c r="D234" s="4">
        <f t="shared" si="3"/>
        <v>-2301.4149235513</v>
      </c>
      <c r="E234" s="5"/>
      <c r="F234" s="5"/>
    </row>
    <row r="235" spans="1:6">
      <c r="A235" s="5"/>
      <c r="B235" s="5"/>
      <c r="C235" s="5">
        <v>231</v>
      </c>
      <c r="D235" s="4">
        <f t="shared" si="3"/>
        <v>-2301.4149235513</v>
      </c>
      <c r="E235" s="5"/>
      <c r="F235" s="5"/>
    </row>
    <row r="236" spans="1:6">
      <c r="A236" s="5"/>
      <c r="B236" s="5"/>
      <c r="C236" s="5">
        <v>232</v>
      </c>
      <c r="D236" s="4">
        <f t="shared" si="3"/>
        <v>-2301.4149235513</v>
      </c>
      <c r="E236" s="5"/>
      <c r="F236" s="5"/>
    </row>
    <row r="237" spans="1:6">
      <c r="A237" s="5"/>
      <c r="B237" s="5"/>
      <c r="C237" s="5">
        <v>233</v>
      </c>
      <c r="D237" s="4">
        <f t="shared" si="3"/>
        <v>-2301.4149235513</v>
      </c>
      <c r="E237" s="5"/>
      <c r="F237" s="5"/>
    </row>
    <row r="238" spans="1:6">
      <c r="A238" s="5"/>
      <c r="B238" s="5"/>
      <c r="C238" s="5">
        <v>234</v>
      </c>
      <c r="D238" s="4">
        <f t="shared" si="3"/>
        <v>-2301.4149235513</v>
      </c>
      <c r="E238" s="5"/>
      <c r="F238" s="5"/>
    </row>
    <row r="239" spans="1:6">
      <c r="A239" s="5"/>
      <c r="B239" s="5"/>
      <c r="C239" s="5">
        <v>235</v>
      </c>
      <c r="D239" s="4">
        <f t="shared" si="3"/>
        <v>-2301.4149235513</v>
      </c>
      <c r="E239" s="5"/>
      <c r="F239" s="5"/>
    </row>
    <row r="240" spans="1:6">
      <c r="A240" s="5"/>
      <c r="B240" s="5"/>
      <c r="C240" s="5">
        <v>236</v>
      </c>
      <c r="D240" s="4">
        <f t="shared" si="3"/>
        <v>-2301.4149235513</v>
      </c>
      <c r="E240" s="5"/>
      <c r="F240" s="5"/>
    </row>
    <row r="241" spans="1:6">
      <c r="A241" s="5"/>
      <c r="B241" s="5"/>
      <c r="C241" s="5">
        <v>237</v>
      </c>
      <c r="D241" s="4">
        <f t="shared" si="3"/>
        <v>-2301.4149235513</v>
      </c>
      <c r="E241" s="5"/>
      <c r="F241" s="5"/>
    </row>
    <row r="242" spans="1:6">
      <c r="A242" s="5"/>
      <c r="B242" s="5"/>
      <c r="C242" s="5">
        <v>238</v>
      </c>
      <c r="D242" s="4">
        <f t="shared" si="3"/>
        <v>-2301.4149235513</v>
      </c>
      <c r="E242" s="5"/>
      <c r="F242" s="5"/>
    </row>
    <row r="243" spans="1:6">
      <c r="A243" s="5"/>
      <c r="B243" s="5"/>
      <c r="C243" s="5">
        <v>239</v>
      </c>
      <c r="D243" s="4">
        <f t="shared" si="3"/>
        <v>-2301.4149235513</v>
      </c>
      <c r="E243" s="5"/>
      <c r="F243" s="5"/>
    </row>
    <row r="244" spans="1:6">
      <c r="A244" s="5"/>
      <c r="B244" s="5"/>
      <c r="C244" s="5">
        <v>240</v>
      </c>
      <c r="D244" s="4">
        <f t="shared" si="3"/>
        <v>-2301.4149235513</v>
      </c>
      <c r="E244" s="5"/>
      <c r="F244" s="5"/>
    </row>
    <row r="245" spans="1:6">
      <c r="A245" s="5"/>
      <c r="B245" s="5"/>
      <c r="C245" s="5">
        <v>241</v>
      </c>
      <c r="D245" s="4">
        <f t="shared" si="3"/>
        <v>-2301.4149235513</v>
      </c>
      <c r="E245" s="5"/>
      <c r="F245" s="5"/>
    </row>
    <row r="246" spans="1:6">
      <c r="A246" s="5"/>
      <c r="B246" s="5"/>
      <c r="C246" s="5">
        <v>242</v>
      </c>
      <c r="D246" s="4">
        <f t="shared" si="3"/>
        <v>-2301.4149235513</v>
      </c>
      <c r="E246" s="5"/>
      <c r="F246" s="5"/>
    </row>
    <row r="247" spans="1:6">
      <c r="A247" s="5"/>
      <c r="B247" s="5"/>
      <c r="C247" s="5">
        <v>243</v>
      </c>
      <c r="D247" s="4">
        <f t="shared" si="3"/>
        <v>-2301.4149235513</v>
      </c>
      <c r="E247" s="5"/>
      <c r="F247" s="5"/>
    </row>
    <row r="248" spans="1:6">
      <c r="A248" s="5"/>
      <c r="B248" s="5"/>
      <c r="C248" s="5">
        <v>244</v>
      </c>
      <c r="D248" s="4">
        <f t="shared" si="3"/>
        <v>-2301.4149235513</v>
      </c>
      <c r="E248" s="5"/>
      <c r="F248" s="5"/>
    </row>
    <row r="249" spans="1:6">
      <c r="A249" s="5"/>
      <c r="B249" s="5"/>
      <c r="C249" s="5">
        <v>245</v>
      </c>
      <c r="D249" s="4">
        <f t="shared" si="3"/>
        <v>-2301.4149235513</v>
      </c>
      <c r="E249" s="5"/>
      <c r="F249" s="5"/>
    </row>
    <row r="250" spans="1:6">
      <c r="A250" s="5"/>
      <c r="B250" s="5"/>
      <c r="C250" s="5">
        <v>246</v>
      </c>
      <c r="D250" s="4">
        <f t="shared" si="3"/>
        <v>-2301.4149235513</v>
      </c>
      <c r="E250" s="5"/>
      <c r="F250" s="5"/>
    </row>
    <row r="251" spans="1:6">
      <c r="A251" s="5"/>
      <c r="B251" s="5"/>
      <c r="C251" s="5">
        <v>247</v>
      </c>
      <c r="D251" s="4">
        <f t="shared" si="3"/>
        <v>-2301.4149235513</v>
      </c>
      <c r="E251" s="5"/>
      <c r="F251" s="5"/>
    </row>
    <row r="252" spans="1:6">
      <c r="A252" s="5"/>
      <c r="B252" s="5"/>
      <c r="C252" s="5">
        <v>248</v>
      </c>
      <c r="D252" s="4">
        <f t="shared" si="3"/>
        <v>-2301.4149235513</v>
      </c>
      <c r="E252" s="5"/>
      <c r="F252" s="5"/>
    </row>
    <row r="253" spans="1:6">
      <c r="A253" s="5"/>
      <c r="B253" s="5"/>
      <c r="C253" s="5">
        <v>249</v>
      </c>
      <c r="D253" s="4">
        <f t="shared" si="3"/>
        <v>-2301.4149235513</v>
      </c>
      <c r="E253" s="5"/>
      <c r="F253" s="5"/>
    </row>
    <row r="254" spans="1:6">
      <c r="A254" s="5"/>
      <c r="B254" s="5"/>
      <c r="C254" s="5">
        <v>250</v>
      </c>
      <c r="D254" s="4">
        <f t="shared" si="3"/>
        <v>-2301.4149235513</v>
      </c>
      <c r="E254" s="5"/>
      <c r="F254" s="5"/>
    </row>
    <row r="255" spans="1:6">
      <c r="A255" s="5"/>
      <c r="B255" s="5"/>
      <c r="C255" s="5">
        <v>251</v>
      </c>
      <c r="D255" s="4">
        <f t="shared" si="3"/>
        <v>-2301.4149235513</v>
      </c>
      <c r="E255" s="5"/>
      <c r="F255" s="5"/>
    </row>
    <row r="256" spans="1:6">
      <c r="A256" s="5"/>
      <c r="B256" s="5"/>
      <c r="C256" s="5">
        <v>252</v>
      </c>
      <c r="D256" s="4">
        <f t="shared" si="3"/>
        <v>-2301.4149235513</v>
      </c>
      <c r="E256" s="5"/>
      <c r="F256" s="5"/>
    </row>
    <row r="257" spans="1:6">
      <c r="A257" s="5"/>
      <c r="B257" s="5"/>
      <c r="C257" s="5">
        <v>253</v>
      </c>
      <c r="D257" s="4">
        <f t="shared" si="3"/>
        <v>-2301.4149235513</v>
      </c>
      <c r="E257" s="5"/>
      <c r="F257" s="5"/>
    </row>
    <row r="258" spans="1:6">
      <c r="A258" s="5"/>
      <c r="B258" s="5"/>
      <c r="C258" s="5">
        <v>254</v>
      </c>
      <c r="D258" s="4">
        <f t="shared" si="3"/>
        <v>-2301.4149235513</v>
      </c>
      <c r="E258" s="5"/>
      <c r="F258" s="5"/>
    </row>
    <row r="259" spans="1:6">
      <c r="A259" s="5"/>
      <c r="B259" s="5"/>
      <c r="C259" s="5">
        <v>255</v>
      </c>
      <c r="D259" s="4">
        <f t="shared" si="3"/>
        <v>-2301.4149235513</v>
      </c>
      <c r="E259" s="5"/>
      <c r="F259" s="5"/>
    </row>
    <row r="260" spans="1:6">
      <c r="A260" s="5"/>
      <c r="B260" s="5"/>
      <c r="C260" s="5">
        <v>256</v>
      </c>
      <c r="D260" s="4">
        <f t="shared" si="3"/>
        <v>-2301.4149235513</v>
      </c>
      <c r="E260" s="5"/>
      <c r="F260" s="5"/>
    </row>
    <row r="261" spans="1:6">
      <c r="A261" s="5"/>
      <c r="B261" s="5"/>
      <c r="C261" s="5">
        <v>257</v>
      </c>
      <c r="D261" s="4">
        <f t="shared" si="3"/>
        <v>-2301.4149235513</v>
      </c>
      <c r="E261" s="5"/>
      <c r="F261" s="5"/>
    </row>
    <row r="262" spans="1:6">
      <c r="A262" s="5"/>
      <c r="B262" s="5"/>
      <c r="C262" s="5">
        <v>258</v>
      </c>
      <c r="D262" s="4">
        <f t="shared" ref="D262:D325" si="4">D261</f>
        <v>-2301.4149235513</v>
      </c>
      <c r="E262" s="5"/>
      <c r="F262" s="5"/>
    </row>
    <row r="263" spans="1:6">
      <c r="A263" s="5"/>
      <c r="B263" s="5"/>
      <c r="C263" s="5">
        <v>259</v>
      </c>
      <c r="D263" s="4">
        <f t="shared" si="4"/>
        <v>-2301.4149235513</v>
      </c>
      <c r="E263" s="5"/>
      <c r="F263" s="5"/>
    </row>
    <row r="264" spans="1:6">
      <c r="A264" s="5"/>
      <c r="B264" s="5"/>
      <c r="C264" s="5">
        <v>260</v>
      </c>
      <c r="D264" s="4">
        <f t="shared" si="4"/>
        <v>-2301.4149235513</v>
      </c>
      <c r="E264" s="5"/>
      <c r="F264" s="5"/>
    </row>
    <row r="265" spans="1:6">
      <c r="A265" s="5"/>
      <c r="B265" s="5"/>
      <c r="C265" s="5">
        <v>261</v>
      </c>
      <c r="D265" s="4">
        <f t="shared" si="4"/>
        <v>-2301.4149235513</v>
      </c>
      <c r="E265" s="5"/>
      <c r="F265" s="5"/>
    </row>
    <row r="266" spans="1:6">
      <c r="A266" s="5"/>
      <c r="B266" s="5"/>
      <c r="C266" s="5">
        <v>262</v>
      </c>
      <c r="D266" s="4">
        <f t="shared" si="4"/>
        <v>-2301.4149235513</v>
      </c>
      <c r="E266" s="5"/>
      <c r="F266" s="5"/>
    </row>
    <row r="267" spans="1:6">
      <c r="A267" s="5"/>
      <c r="B267" s="5"/>
      <c r="C267" s="5">
        <v>263</v>
      </c>
      <c r="D267" s="4">
        <f t="shared" si="4"/>
        <v>-2301.4149235513</v>
      </c>
      <c r="E267" s="5"/>
      <c r="F267" s="5"/>
    </row>
    <row r="268" spans="1:6">
      <c r="A268" s="5"/>
      <c r="B268" s="5"/>
      <c r="C268" s="5">
        <v>264</v>
      </c>
      <c r="D268" s="4">
        <f t="shared" si="4"/>
        <v>-2301.4149235513</v>
      </c>
      <c r="E268" s="5"/>
      <c r="F268" s="5"/>
    </row>
    <row r="269" spans="1:6">
      <c r="A269" s="5"/>
      <c r="B269" s="5"/>
      <c r="C269" s="5">
        <v>265</v>
      </c>
      <c r="D269" s="4">
        <f t="shared" si="4"/>
        <v>-2301.4149235513</v>
      </c>
      <c r="E269" s="5"/>
      <c r="F269" s="5"/>
    </row>
    <row r="270" spans="1:6">
      <c r="A270" s="5"/>
      <c r="B270" s="5"/>
      <c r="C270" s="5">
        <v>266</v>
      </c>
      <c r="D270" s="4">
        <f t="shared" si="4"/>
        <v>-2301.4149235513</v>
      </c>
      <c r="E270" s="5"/>
      <c r="F270" s="5"/>
    </row>
    <row r="271" spans="1:6">
      <c r="A271" s="5"/>
      <c r="B271" s="5"/>
      <c r="C271" s="5">
        <v>267</v>
      </c>
      <c r="D271" s="4">
        <f t="shared" si="4"/>
        <v>-2301.4149235513</v>
      </c>
      <c r="E271" s="5"/>
      <c r="F271" s="5"/>
    </row>
    <row r="272" spans="1:6">
      <c r="A272" s="5"/>
      <c r="B272" s="5"/>
      <c r="C272" s="5">
        <v>268</v>
      </c>
      <c r="D272" s="4">
        <f t="shared" si="4"/>
        <v>-2301.4149235513</v>
      </c>
      <c r="E272" s="5"/>
      <c r="F272" s="5"/>
    </row>
    <row r="273" spans="1:6">
      <c r="A273" s="5"/>
      <c r="B273" s="5"/>
      <c r="C273" s="5">
        <v>269</v>
      </c>
      <c r="D273" s="4">
        <f t="shared" si="4"/>
        <v>-2301.4149235513</v>
      </c>
      <c r="E273" s="5"/>
      <c r="F273" s="5"/>
    </row>
    <row r="274" spans="1:6">
      <c r="A274" s="5"/>
      <c r="B274" s="5"/>
      <c r="C274" s="5">
        <v>270</v>
      </c>
      <c r="D274" s="4">
        <f t="shared" si="4"/>
        <v>-2301.4149235513</v>
      </c>
      <c r="E274" s="5"/>
      <c r="F274" s="5"/>
    </row>
    <row r="275" spans="1:6">
      <c r="A275" s="5"/>
      <c r="B275" s="5"/>
      <c r="C275" s="5">
        <v>271</v>
      </c>
      <c r="D275" s="4">
        <f t="shared" si="4"/>
        <v>-2301.4149235513</v>
      </c>
      <c r="E275" s="5"/>
      <c r="F275" s="5"/>
    </row>
    <row r="276" spans="1:6">
      <c r="A276" s="5"/>
      <c r="B276" s="5"/>
      <c r="C276" s="5">
        <v>272</v>
      </c>
      <c r="D276" s="4">
        <f t="shared" si="4"/>
        <v>-2301.4149235513</v>
      </c>
      <c r="E276" s="5"/>
      <c r="F276" s="5"/>
    </row>
    <row r="277" spans="1:6">
      <c r="A277" s="5"/>
      <c r="B277" s="5"/>
      <c r="C277" s="5">
        <v>273</v>
      </c>
      <c r="D277" s="4">
        <f t="shared" si="4"/>
        <v>-2301.4149235513</v>
      </c>
      <c r="E277" s="5"/>
      <c r="F277" s="5"/>
    </row>
    <row r="278" spans="1:6">
      <c r="A278" s="5"/>
      <c r="B278" s="5"/>
      <c r="C278" s="5">
        <v>274</v>
      </c>
      <c r="D278" s="4">
        <f t="shared" si="4"/>
        <v>-2301.4149235513</v>
      </c>
      <c r="E278" s="5"/>
      <c r="F278" s="5"/>
    </row>
    <row r="279" spans="1:6">
      <c r="A279" s="5"/>
      <c r="B279" s="5"/>
      <c r="C279" s="5">
        <v>275</v>
      </c>
      <c r="D279" s="4">
        <f t="shared" si="4"/>
        <v>-2301.4149235513</v>
      </c>
      <c r="E279" s="5"/>
      <c r="F279" s="5"/>
    </row>
    <row r="280" spans="1:6">
      <c r="A280" s="5"/>
      <c r="B280" s="5"/>
      <c r="C280" s="5">
        <v>276</v>
      </c>
      <c r="D280" s="4">
        <f t="shared" si="4"/>
        <v>-2301.4149235513</v>
      </c>
      <c r="E280" s="5"/>
      <c r="F280" s="5"/>
    </row>
    <row r="281" spans="1:6">
      <c r="A281" s="5"/>
      <c r="B281" s="5"/>
      <c r="C281" s="5">
        <v>277</v>
      </c>
      <c r="D281" s="4">
        <f t="shared" si="4"/>
        <v>-2301.4149235513</v>
      </c>
      <c r="E281" s="5"/>
      <c r="F281" s="5"/>
    </row>
    <row r="282" spans="1:6">
      <c r="A282" s="5"/>
      <c r="B282" s="5"/>
      <c r="C282" s="5">
        <v>278</v>
      </c>
      <c r="D282" s="4">
        <f t="shared" si="4"/>
        <v>-2301.4149235513</v>
      </c>
      <c r="E282" s="5"/>
      <c r="F282" s="5"/>
    </row>
    <row r="283" spans="1:6">
      <c r="A283" s="5"/>
      <c r="B283" s="5"/>
      <c r="C283" s="5">
        <v>279</v>
      </c>
      <c r="D283" s="4">
        <f t="shared" si="4"/>
        <v>-2301.4149235513</v>
      </c>
      <c r="E283" s="5"/>
      <c r="F283" s="5"/>
    </row>
    <row r="284" spans="1:6">
      <c r="A284" s="5"/>
      <c r="B284" s="5"/>
      <c r="C284" s="5">
        <v>280</v>
      </c>
      <c r="D284" s="4">
        <f t="shared" si="4"/>
        <v>-2301.4149235513</v>
      </c>
      <c r="E284" s="5"/>
      <c r="F284" s="5"/>
    </row>
    <row r="285" spans="1:6">
      <c r="A285" s="5"/>
      <c r="B285" s="5"/>
      <c r="C285" s="5">
        <v>281</v>
      </c>
      <c r="D285" s="4">
        <f t="shared" si="4"/>
        <v>-2301.4149235513</v>
      </c>
      <c r="E285" s="5"/>
      <c r="F285" s="5"/>
    </row>
    <row r="286" spans="1:6">
      <c r="A286" s="5"/>
      <c r="B286" s="5"/>
      <c r="C286" s="5">
        <v>282</v>
      </c>
      <c r="D286" s="4">
        <f t="shared" si="4"/>
        <v>-2301.4149235513</v>
      </c>
      <c r="E286" s="5"/>
      <c r="F286" s="5"/>
    </row>
    <row r="287" spans="1:6">
      <c r="A287" s="5"/>
      <c r="B287" s="5"/>
      <c r="C287" s="5">
        <v>283</v>
      </c>
      <c r="D287" s="4">
        <f t="shared" si="4"/>
        <v>-2301.4149235513</v>
      </c>
      <c r="E287" s="5"/>
      <c r="F287" s="5"/>
    </row>
    <row r="288" spans="1:6">
      <c r="A288" s="5"/>
      <c r="B288" s="5"/>
      <c r="C288" s="5">
        <v>284</v>
      </c>
      <c r="D288" s="4">
        <f t="shared" si="4"/>
        <v>-2301.4149235513</v>
      </c>
      <c r="E288" s="5"/>
      <c r="F288" s="5"/>
    </row>
    <row r="289" spans="1:6">
      <c r="A289" s="5"/>
      <c r="B289" s="5"/>
      <c r="C289" s="5">
        <v>285</v>
      </c>
      <c r="D289" s="4">
        <f t="shared" si="4"/>
        <v>-2301.4149235513</v>
      </c>
      <c r="E289" s="5"/>
      <c r="F289" s="5"/>
    </row>
    <row r="290" spans="1:6">
      <c r="A290" s="5"/>
      <c r="B290" s="5"/>
      <c r="C290" s="5">
        <v>286</v>
      </c>
      <c r="D290" s="4">
        <f t="shared" si="4"/>
        <v>-2301.4149235513</v>
      </c>
      <c r="E290" s="5"/>
      <c r="F290" s="5"/>
    </row>
    <row r="291" spans="1:6">
      <c r="A291" s="5"/>
      <c r="B291" s="5"/>
      <c r="C291" s="5">
        <v>287</v>
      </c>
      <c r="D291" s="4">
        <f t="shared" si="4"/>
        <v>-2301.4149235513</v>
      </c>
      <c r="E291" s="5"/>
      <c r="F291" s="5"/>
    </row>
    <row r="292" spans="1:6">
      <c r="A292" s="5"/>
      <c r="B292" s="5"/>
      <c r="C292" s="5">
        <v>288</v>
      </c>
      <c r="D292" s="4">
        <f t="shared" si="4"/>
        <v>-2301.4149235513</v>
      </c>
      <c r="E292" s="5"/>
      <c r="F292" s="5"/>
    </row>
    <row r="293" spans="1:6">
      <c r="A293" s="5"/>
      <c r="B293" s="5"/>
      <c r="C293" s="5">
        <v>289</v>
      </c>
      <c r="D293" s="4">
        <f t="shared" si="4"/>
        <v>-2301.4149235513</v>
      </c>
      <c r="E293" s="5"/>
      <c r="F293" s="5"/>
    </row>
    <row r="294" spans="1:6">
      <c r="A294" s="5"/>
      <c r="B294" s="5"/>
      <c r="C294" s="5">
        <v>290</v>
      </c>
      <c r="D294" s="4">
        <f t="shared" si="4"/>
        <v>-2301.4149235513</v>
      </c>
      <c r="E294" s="5"/>
      <c r="F294" s="5"/>
    </row>
    <row r="295" spans="1:6">
      <c r="A295" s="5"/>
      <c r="B295" s="5"/>
      <c r="C295" s="5">
        <v>291</v>
      </c>
      <c r="D295" s="4">
        <f t="shared" si="4"/>
        <v>-2301.4149235513</v>
      </c>
      <c r="E295" s="5"/>
      <c r="F295" s="5"/>
    </row>
    <row r="296" spans="1:6">
      <c r="A296" s="5"/>
      <c r="B296" s="5"/>
      <c r="C296" s="5">
        <v>292</v>
      </c>
      <c r="D296" s="4">
        <f t="shared" si="4"/>
        <v>-2301.4149235513</v>
      </c>
      <c r="E296" s="5"/>
      <c r="F296" s="5"/>
    </row>
    <row r="297" spans="1:6">
      <c r="A297" s="5"/>
      <c r="B297" s="5"/>
      <c r="C297" s="5">
        <v>293</v>
      </c>
      <c r="D297" s="4">
        <f t="shared" si="4"/>
        <v>-2301.4149235513</v>
      </c>
      <c r="E297" s="5"/>
      <c r="F297" s="5"/>
    </row>
    <row r="298" spans="1:6">
      <c r="A298" s="5"/>
      <c r="B298" s="5"/>
      <c r="C298" s="5">
        <v>294</v>
      </c>
      <c r="D298" s="4">
        <f t="shared" si="4"/>
        <v>-2301.4149235513</v>
      </c>
      <c r="E298" s="5"/>
      <c r="F298" s="5"/>
    </row>
    <row r="299" spans="1:6">
      <c r="A299" s="5"/>
      <c r="B299" s="5"/>
      <c r="C299" s="5">
        <v>295</v>
      </c>
      <c r="D299" s="4">
        <f t="shared" si="4"/>
        <v>-2301.4149235513</v>
      </c>
      <c r="E299" s="5"/>
      <c r="F299" s="5"/>
    </row>
    <row r="300" spans="1:6">
      <c r="A300" s="5"/>
      <c r="B300" s="5"/>
      <c r="C300" s="5">
        <v>296</v>
      </c>
      <c r="D300" s="4">
        <f t="shared" si="4"/>
        <v>-2301.4149235513</v>
      </c>
      <c r="E300" s="5"/>
      <c r="F300" s="5"/>
    </row>
    <row r="301" spans="1:6">
      <c r="A301" s="5"/>
      <c r="B301" s="5"/>
      <c r="C301" s="5">
        <v>297</v>
      </c>
      <c r="D301" s="4">
        <f t="shared" si="4"/>
        <v>-2301.4149235513</v>
      </c>
      <c r="E301" s="5"/>
      <c r="F301" s="5"/>
    </row>
    <row r="302" spans="1:6">
      <c r="A302" s="5"/>
      <c r="B302" s="5"/>
      <c r="C302" s="5">
        <v>298</v>
      </c>
      <c r="D302" s="4">
        <f t="shared" si="4"/>
        <v>-2301.4149235513</v>
      </c>
      <c r="E302" s="5"/>
      <c r="F302" s="5"/>
    </row>
    <row r="303" spans="1:6">
      <c r="A303" s="5"/>
      <c r="B303" s="5"/>
      <c r="C303" s="5">
        <v>299</v>
      </c>
      <c r="D303" s="4">
        <f t="shared" si="4"/>
        <v>-2301.4149235513</v>
      </c>
      <c r="E303" s="5"/>
      <c r="F303" s="5"/>
    </row>
    <row r="304" spans="1:6">
      <c r="A304" s="5"/>
      <c r="B304" s="5"/>
      <c r="C304" s="5">
        <v>300</v>
      </c>
      <c r="D304" s="4">
        <f t="shared" si="4"/>
        <v>-2301.4149235513</v>
      </c>
      <c r="E304" s="5"/>
      <c r="F304" s="5"/>
    </row>
    <row r="305" spans="1:6">
      <c r="A305" s="5"/>
      <c r="B305" s="5"/>
      <c r="C305" s="5">
        <v>301</v>
      </c>
      <c r="D305" s="4">
        <f t="shared" si="4"/>
        <v>-2301.4149235513</v>
      </c>
      <c r="E305" s="5"/>
      <c r="F305" s="5"/>
    </row>
    <row r="306" spans="1:6">
      <c r="A306" s="5"/>
      <c r="B306" s="5"/>
      <c r="C306" s="5">
        <v>302</v>
      </c>
      <c r="D306" s="4">
        <f t="shared" si="4"/>
        <v>-2301.4149235513</v>
      </c>
      <c r="E306" s="5"/>
      <c r="F306" s="5"/>
    </row>
    <row r="307" spans="1:6">
      <c r="A307" s="5"/>
      <c r="B307" s="5"/>
      <c r="C307" s="5">
        <v>303</v>
      </c>
      <c r="D307" s="4">
        <f t="shared" si="4"/>
        <v>-2301.4149235513</v>
      </c>
      <c r="E307" s="5"/>
      <c r="F307" s="5"/>
    </row>
    <row r="308" spans="1:6">
      <c r="A308" s="5"/>
      <c r="B308" s="5"/>
      <c r="C308" s="5">
        <v>304</v>
      </c>
      <c r="D308" s="4">
        <f t="shared" si="4"/>
        <v>-2301.4149235513</v>
      </c>
      <c r="E308" s="5"/>
      <c r="F308" s="5"/>
    </row>
    <row r="309" spans="1:6">
      <c r="A309" s="5"/>
      <c r="B309" s="5"/>
      <c r="C309" s="5">
        <v>305</v>
      </c>
      <c r="D309" s="4">
        <f t="shared" si="4"/>
        <v>-2301.4149235513</v>
      </c>
      <c r="E309" s="5"/>
      <c r="F309" s="5"/>
    </row>
    <row r="310" spans="1:6">
      <c r="A310" s="5"/>
      <c r="B310" s="5"/>
      <c r="C310" s="5">
        <v>306</v>
      </c>
      <c r="D310" s="4">
        <f t="shared" si="4"/>
        <v>-2301.4149235513</v>
      </c>
      <c r="E310" s="5"/>
      <c r="F310" s="5"/>
    </row>
    <row r="311" spans="1:6">
      <c r="A311" s="5"/>
      <c r="B311" s="5"/>
      <c r="C311" s="5">
        <v>307</v>
      </c>
      <c r="D311" s="4">
        <f t="shared" si="4"/>
        <v>-2301.4149235513</v>
      </c>
      <c r="E311" s="5"/>
      <c r="F311" s="5"/>
    </row>
    <row r="312" spans="1:6">
      <c r="A312" s="5"/>
      <c r="B312" s="5"/>
      <c r="C312" s="5">
        <v>308</v>
      </c>
      <c r="D312" s="4">
        <f t="shared" si="4"/>
        <v>-2301.4149235513</v>
      </c>
      <c r="E312" s="5"/>
      <c r="F312" s="5"/>
    </row>
    <row r="313" spans="1:6">
      <c r="A313" s="5"/>
      <c r="B313" s="5"/>
      <c r="C313" s="5">
        <v>309</v>
      </c>
      <c r="D313" s="4">
        <f t="shared" si="4"/>
        <v>-2301.4149235513</v>
      </c>
      <c r="E313" s="5"/>
      <c r="F313" s="5"/>
    </row>
    <row r="314" spans="1:6">
      <c r="A314" s="5"/>
      <c r="B314" s="5"/>
      <c r="C314" s="5">
        <v>310</v>
      </c>
      <c r="D314" s="4">
        <f t="shared" si="4"/>
        <v>-2301.4149235513</v>
      </c>
      <c r="E314" s="5"/>
      <c r="F314" s="5"/>
    </row>
    <row r="315" spans="1:6">
      <c r="A315" s="5"/>
      <c r="B315" s="5"/>
      <c r="C315" s="5">
        <v>311</v>
      </c>
      <c r="D315" s="4">
        <f t="shared" si="4"/>
        <v>-2301.4149235513</v>
      </c>
      <c r="E315" s="5"/>
      <c r="F315" s="5"/>
    </row>
    <row r="316" spans="1:6">
      <c r="A316" s="5"/>
      <c r="B316" s="5"/>
      <c r="C316" s="5">
        <v>312</v>
      </c>
      <c r="D316" s="4">
        <f t="shared" si="4"/>
        <v>-2301.4149235513</v>
      </c>
      <c r="E316" s="5"/>
      <c r="F316" s="5"/>
    </row>
    <row r="317" spans="1:6">
      <c r="A317" s="5"/>
      <c r="B317" s="5"/>
      <c r="C317" s="5">
        <v>313</v>
      </c>
      <c r="D317" s="4">
        <f t="shared" si="4"/>
        <v>-2301.4149235513</v>
      </c>
      <c r="E317" s="5"/>
      <c r="F317" s="5"/>
    </row>
    <row r="318" spans="1:6">
      <c r="A318" s="5"/>
      <c r="B318" s="5"/>
      <c r="C318" s="5">
        <v>314</v>
      </c>
      <c r="D318" s="4">
        <f t="shared" si="4"/>
        <v>-2301.4149235513</v>
      </c>
      <c r="E318" s="5"/>
      <c r="F318" s="5"/>
    </row>
    <row r="319" spans="1:6">
      <c r="A319" s="5"/>
      <c r="B319" s="5"/>
      <c r="C319" s="5">
        <v>315</v>
      </c>
      <c r="D319" s="4">
        <f t="shared" si="4"/>
        <v>-2301.4149235513</v>
      </c>
      <c r="E319" s="5"/>
      <c r="F319" s="5"/>
    </row>
    <row r="320" spans="1:6">
      <c r="A320" s="5"/>
      <c r="B320" s="5"/>
      <c r="C320" s="5">
        <v>316</v>
      </c>
      <c r="D320" s="4">
        <f t="shared" si="4"/>
        <v>-2301.4149235513</v>
      </c>
      <c r="E320" s="5"/>
      <c r="F320" s="5"/>
    </row>
    <row r="321" spans="1:6">
      <c r="A321" s="5"/>
      <c r="B321" s="5"/>
      <c r="C321" s="5">
        <v>317</v>
      </c>
      <c r="D321" s="4">
        <f t="shared" si="4"/>
        <v>-2301.4149235513</v>
      </c>
      <c r="E321" s="5"/>
      <c r="F321" s="5"/>
    </row>
    <row r="322" spans="1:6">
      <c r="A322" s="5"/>
      <c r="B322" s="5"/>
      <c r="C322" s="5">
        <v>318</v>
      </c>
      <c r="D322" s="4">
        <f t="shared" si="4"/>
        <v>-2301.4149235513</v>
      </c>
      <c r="E322" s="5"/>
      <c r="F322" s="5"/>
    </row>
    <row r="323" spans="1:6">
      <c r="A323" s="5"/>
      <c r="B323" s="5"/>
      <c r="C323" s="5">
        <v>319</v>
      </c>
      <c r="D323" s="4">
        <f t="shared" si="4"/>
        <v>-2301.4149235513</v>
      </c>
      <c r="E323" s="5"/>
      <c r="F323" s="5"/>
    </row>
    <row r="324" spans="1:6">
      <c r="A324" s="5"/>
      <c r="B324" s="5"/>
      <c r="C324" s="5">
        <v>320</v>
      </c>
      <c r="D324" s="4">
        <f t="shared" si="4"/>
        <v>-2301.4149235513</v>
      </c>
      <c r="E324" s="5"/>
      <c r="F324" s="5"/>
    </row>
    <row r="325" spans="1:6">
      <c r="A325" s="5"/>
      <c r="B325" s="5"/>
      <c r="C325" s="5">
        <v>321</v>
      </c>
      <c r="D325" s="4">
        <f t="shared" si="4"/>
        <v>-2301.4149235513</v>
      </c>
      <c r="E325" s="5"/>
      <c r="F325" s="5"/>
    </row>
    <row r="326" spans="1:6">
      <c r="A326" s="5"/>
      <c r="B326" s="5"/>
      <c r="C326" s="5">
        <v>322</v>
      </c>
      <c r="D326" s="4">
        <f t="shared" ref="D326:D364" si="5">D325</f>
        <v>-2301.4149235513</v>
      </c>
      <c r="E326" s="5"/>
      <c r="F326" s="5"/>
    </row>
    <row r="327" spans="1:6">
      <c r="A327" s="5"/>
      <c r="B327" s="5"/>
      <c r="C327" s="5">
        <v>323</v>
      </c>
      <c r="D327" s="4">
        <f t="shared" si="5"/>
        <v>-2301.4149235513</v>
      </c>
      <c r="E327" s="5"/>
      <c r="F327" s="5"/>
    </row>
    <row r="328" spans="1:6">
      <c r="A328" s="5"/>
      <c r="B328" s="5"/>
      <c r="C328" s="5">
        <v>324</v>
      </c>
      <c r="D328" s="4">
        <f t="shared" si="5"/>
        <v>-2301.4149235513</v>
      </c>
      <c r="E328" s="5"/>
      <c r="F328" s="5"/>
    </row>
    <row r="329" spans="1:6">
      <c r="A329" s="5"/>
      <c r="B329" s="5"/>
      <c r="C329" s="5">
        <v>325</v>
      </c>
      <c r="D329" s="4">
        <f t="shared" si="5"/>
        <v>-2301.4149235513</v>
      </c>
      <c r="E329" s="5"/>
      <c r="F329" s="5"/>
    </row>
    <row r="330" spans="1:6">
      <c r="A330" s="5"/>
      <c r="B330" s="5"/>
      <c r="C330" s="5">
        <v>326</v>
      </c>
      <c r="D330" s="4">
        <f t="shared" si="5"/>
        <v>-2301.4149235513</v>
      </c>
      <c r="E330" s="5"/>
      <c r="F330" s="5"/>
    </row>
    <row r="331" spans="1:6">
      <c r="A331" s="5"/>
      <c r="B331" s="5"/>
      <c r="C331" s="5">
        <v>327</v>
      </c>
      <c r="D331" s="4">
        <f t="shared" si="5"/>
        <v>-2301.4149235513</v>
      </c>
      <c r="E331" s="5"/>
      <c r="F331" s="5"/>
    </row>
    <row r="332" spans="1:6">
      <c r="A332" s="5"/>
      <c r="B332" s="5"/>
      <c r="C332" s="5">
        <v>328</v>
      </c>
      <c r="D332" s="4">
        <f t="shared" si="5"/>
        <v>-2301.4149235513</v>
      </c>
      <c r="E332" s="5"/>
      <c r="F332" s="5"/>
    </row>
    <row r="333" spans="1:6">
      <c r="A333" s="5"/>
      <c r="B333" s="5"/>
      <c r="C333" s="5">
        <v>329</v>
      </c>
      <c r="D333" s="4">
        <f t="shared" si="5"/>
        <v>-2301.4149235513</v>
      </c>
      <c r="E333" s="5"/>
      <c r="F333" s="5"/>
    </row>
    <row r="334" spans="1:6">
      <c r="A334" s="5"/>
      <c r="B334" s="5"/>
      <c r="C334" s="5">
        <v>330</v>
      </c>
      <c r="D334" s="4">
        <f t="shared" si="5"/>
        <v>-2301.4149235513</v>
      </c>
      <c r="E334" s="5"/>
      <c r="F334" s="5"/>
    </row>
    <row r="335" spans="1:6">
      <c r="A335" s="5"/>
      <c r="B335" s="5"/>
      <c r="C335" s="5">
        <v>331</v>
      </c>
      <c r="D335" s="4">
        <f t="shared" si="5"/>
        <v>-2301.4149235513</v>
      </c>
      <c r="E335" s="5"/>
      <c r="F335" s="5"/>
    </row>
    <row r="336" spans="1:6">
      <c r="A336" s="5"/>
      <c r="B336" s="5"/>
      <c r="C336" s="5">
        <v>332</v>
      </c>
      <c r="D336" s="4">
        <f t="shared" si="5"/>
        <v>-2301.4149235513</v>
      </c>
      <c r="E336" s="5"/>
      <c r="F336" s="5"/>
    </row>
    <row r="337" spans="1:6">
      <c r="A337" s="5"/>
      <c r="B337" s="5"/>
      <c r="C337" s="5">
        <v>333</v>
      </c>
      <c r="D337" s="4">
        <f t="shared" si="5"/>
        <v>-2301.4149235513</v>
      </c>
      <c r="E337" s="5"/>
      <c r="F337" s="5"/>
    </row>
    <row r="338" spans="1:6">
      <c r="A338" s="5"/>
      <c r="B338" s="5"/>
      <c r="C338" s="5">
        <v>334</v>
      </c>
      <c r="D338" s="4">
        <f t="shared" si="5"/>
        <v>-2301.4149235513</v>
      </c>
      <c r="E338" s="5"/>
      <c r="F338" s="5"/>
    </row>
    <row r="339" spans="1:6">
      <c r="A339" s="5"/>
      <c r="B339" s="5"/>
      <c r="C339" s="5">
        <v>335</v>
      </c>
      <c r="D339" s="4">
        <f t="shared" si="5"/>
        <v>-2301.4149235513</v>
      </c>
      <c r="E339" s="5"/>
      <c r="F339" s="5"/>
    </row>
    <row r="340" spans="1:6">
      <c r="A340" s="5"/>
      <c r="B340" s="5"/>
      <c r="C340" s="5">
        <v>336</v>
      </c>
      <c r="D340" s="4">
        <f t="shared" si="5"/>
        <v>-2301.4149235513</v>
      </c>
      <c r="E340" s="5"/>
      <c r="F340" s="5"/>
    </row>
    <row r="341" spans="1:6">
      <c r="A341" s="5"/>
      <c r="B341" s="5"/>
      <c r="C341" s="5">
        <v>337</v>
      </c>
      <c r="D341" s="4">
        <f t="shared" si="5"/>
        <v>-2301.4149235513</v>
      </c>
      <c r="E341" s="5"/>
      <c r="F341" s="5"/>
    </row>
    <row r="342" spans="1:6">
      <c r="A342" s="5"/>
      <c r="B342" s="5"/>
      <c r="C342" s="5">
        <v>338</v>
      </c>
      <c r="D342" s="4">
        <f t="shared" si="5"/>
        <v>-2301.4149235513</v>
      </c>
      <c r="E342" s="5"/>
      <c r="F342" s="5"/>
    </row>
    <row r="343" spans="1:6">
      <c r="A343" s="5"/>
      <c r="B343" s="5"/>
      <c r="C343" s="5">
        <v>339</v>
      </c>
      <c r="D343" s="4">
        <f t="shared" si="5"/>
        <v>-2301.4149235513</v>
      </c>
      <c r="E343" s="5"/>
      <c r="F343" s="5"/>
    </row>
    <row r="344" spans="1:6">
      <c r="A344" s="5"/>
      <c r="B344" s="5"/>
      <c r="C344" s="5">
        <v>340</v>
      </c>
      <c r="D344" s="4">
        <f t="shared" si="5"/>
        <v>-2301.4149235513</v>
      </c>
      <c r="E344" s="5"/>
      <c r="F344" s="5"/>
    </row>
    <row r="345" spans="1:6">
      <c r="A345" s="5"/>
      <c r="B345" s="5"/>
      <c r="C345" s="5">
        <v>341</v>
      </c>
      <c r="D345" s="4">
        <f t="shared" si="5"/>
        <v>-2301.4149235513</v>
      </c>
      <c r="E345" s="5"/>
      <c r="F345" s="5"/>
    </row>
    <row r="346" spans="1:6">
      <c r="A346" s="5"/>
      <c r="B346" s="5"/>
      <c r="C346" s="5">
        <v>342</v>
      </c>
      <c r="D346" s="4">
        <f t="shared" si="5"/>
        <v>-2301.4149235513</v>
      </c>
      <c r="E346" s="5"/>
      <c r="F346" s="5"/>
    </row>
    <row r="347" spans="1:6">
      <c r="A347" s="5"/>
      <c r="B347" s="5"/>
      <c r="C347" s="5">
        <v>343</v>
      </c>
      <c r="D347" s="4">
        <f t="shared" si="5"/>
        <v>-2301.4149235513</v>
      </c>
      <c r="E347" s="5"/>
      <c r="F347" s="5"/>
    </row>
    <row r="348" spans="1:6">
      <c r="A348" s="5"/>
      <c r="B348" s="5"/>
      <c r="C348" s="5">
        <v>344</v>
      </c>
      <c r="D348" s="4">
        <f t="shared" si="5"/>
        <v>-2301.4149235513</v>
      </c>
      <c r="E348" s="5"/>
      <c r="F348" s="5"/>
    </row>
    <row r="349" spans="1:6">
      <c r="A349" s="5"/>
      <c r="B349" s="5"/>
      <c r="C349" s="5">
        <v>345</v>
      </c>
      <c r="D349" s="4">
        <f t="shared" si="5"/>
        <v>-2301.4149235513</v>
      </c>
      <c r="E349" s="5"/>
      <c r="F349" s="5"/>
    </row>
    <row r="350" spans="1:6">
      <c r="A350" s="5"/>
      <c r="B350" s="5"/>
      <c r="C350" s="5">
        <v>346</v>
      </c>
      <c r="D350" s="4">
        <f t="shared" si="5"/>
        <v>-2301.4149235513</v>
      </c>
      <c r="E350" s="5"/>
      <c r="F350" s="5"/>
    </row>
    <row r="351" spans="1:6">
      <c r="A351" s="5"/>
      <c r="B351" s="5"/>
      <c r="C351" s="5">
        <v>347</v>
      </c>
      <c r="D351" s="4">
        <f t="shared" si="5"/>
        <v>-2301.4149235513</v>
      </c>
      <c r="E351" s="5"/>
      <c r="F351" s="5"/>
    </row>
    <row r="352" spans="1:6">
      <c r="A352" s="5"/>
      <c r="B352" s="5"/>
      <c r="C352" s="5">
        <v>348</v>
      </c>
      <c r="D352" s="4">
        <f t="shared" si="5"/>
        <v>-2301.4149235513</v>
      </c>
      <c r="E352" s="5"/>
      <c r="F352" s="5"/>
    </row>
    <row r="353" spans="1:6">
      <c r="A353" s="5"/>
      <c r="B353" s="5"/>
      <c r="C353" s="5">
        <v>349</v>
      </c>
      <c r="D353" s="4">
        <f t="shared" si="5"/>
        <v>-2301.4149235513</v>
      </c>
      <c r="E353" s="5"/>
      <c r="F353" s="5"/>
    </row>
    <row r="354" spans="1:6">
      <c r="A354" s="5"/>
      <c r="B354" s="5"/>
      <c r="C354" s="5">
        <v>350</v>
      </c>
      <c r="D354" s="4">
        <f t="shared" si="5"/>
        <v>-2301.4149235513</v>
      </c>
      <c r="E354" s="5"/>
      <c r="F354" s="5"/>
    </row>
    <row r="355" spans="1:6">
      <c r="A355" s="5"/>
      <c r="B355" s="5"/>
      <c r="C355" s="5">
        <v>351</v>
      </c>
      <c r="D355" s="4">
        <f t="shared" si="5"/>
        <v>-2301.4149235513</v>
      </c>
      <c r="E355" s="5"/>
      <c r="F355" s="5"/>
    </row>
    <row r="356" spans="1:6">
      <c r="A356" s="5"/>
      <c r="B356" s="5"/>
      <c r="C356" s="5">
        <v>352</v>
      </c>
      <c r="D356" s="4">
        <f t="shared" si="5"/>
        <v>-2301.4149235513</v>
      </c>
      <c r="E356" s="5"/>
      <c r="F356" s="5"/>
    </row>
    <row r="357" spans="1:6">
      <c r="A357" s="5"/>
      <c r="B357" s="5"/>
      <c r="C357" s="5">
        <v>353</v>
      </c>
      <c r="D357" s="4">
        <f t="shared" si="5"/>
        <v>-2301.4149235513</v>
      </c>
      <c r="E357" s="5"/>
      <c r="F357" s="5"/>
    </row>
    <row r="358" spans="1:6">
      <c r="A358" s="5"/>
      <c r="B358" s="5"/>
      <c r="C358" s="5">
        <v>354</v>
      </c>
      <c r="D358" s="4">
        <f t="shared" si="5"/>
        <v>-2301.4149235513</v>
      </c>
      <c r="E358" s="5"/>
      <c r="F358" s="5"/>
    </row>
    <row r="359" spans="1:6">
      <c r="A359" s="5"/>
      <c r="B359" s="5"/>
      <c r="C359" s="5">
        <v>355</v>
      </c>
      <c r="D359" s="4">
        <f t="shared" si="5"/>
        <v>-2301.4149235513</v>
      </c>
      <c r="E359" s="5"/>
      <c r="F359" s="5"/>
    </row>
    <row r="360" spans="1:6">
      <c r="A360" s="5"/>
      <c r="B360" s="5"/>
      <c r="C360" s="5">
        <v>356</v>
      </c>
      <c r="D360" s="4">
        <f t="shared" si="5"/>
        <v>-2301.4149235513</v>
      </c>
      <c r="E360" s="5"/>
      <c r="F360" s="5"/>
    </row>
    <row r="361" spans="1:6">
      <c r="A361" s="5"/>
      <c r="B361" s="5"/>
      <c r="C361" s="5">
        <v>357</v>
      </c>
      <c r="D361" s="4">
        <f t="shared" si="5"/>
        <v>-2301.4149235513</v>
      </c>
      <c r="E361" s="5"/>
      <c r="F361" s="5"/>
    </row>
    <row r="362" spans="1:6">
      <c r="A362" s="5"/>
      <c r="B362" s="5"/>
      <c r="C362" s="5">
        <v>358</v>
      </c>
      <c r="D362" s="4">
        <f t="shared" si="5"/>
        <v>-2301.4149235513</v>
      </c>
      <c r="E362" s="5"/>
      <c r="F362" s="5"/>
    </row>
    <row r="363" spans="1:6">
      <c r="A363" s="5"/>
      <c r="B363" s="5"/>
      <c r="C363" s="5">
        <v>359</v>
      </c>
      <c r="D363" s="4">
        <f t="shared" si="5"/>
        <v>-2301.4149235513</v>
      </c>
      <c r="E363" s="5"/>
      <c r="F363" s="5"/>
    </row>
    <row r="364" spans="1:6">
      <c r="A364" s="5"/>
      <c r="B364" s="5"/>
      <c r="C364" s="5">
        <v>360</v>
      </c>
      <c r="D364" s="4">
        <f t="shared" si="5"/>
        <v>-2301.4149235513</v>
      </c>
      <c r="E364" s="5"/>
      <c r="F364" s="5"/>
    </row>
  </sheetData>
  <mergeCells count="1">
    <mergeCell ref="A1:F1"/>
  </mergeCells>
  <hyperlinks>
    <hyperlink ref="B1" r:id="rId1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4"/>
  <sheetViews>
    <sheetView tabSelected="1" zoomScale="108" zoomScaleNormal="108" workbookViewId="0">
      <selection activeCell="F12" sqref="F12"/>
    </sheetView>
  </sheetViews>
  <sheetFormatPr defaultColWidth="9.14285714285714" defaultRowHeight="17.6" outlineLevelCol="5"/>
  <cols>
    <col min="1" max="1" width="27.9732142857143" customWidth="1"/>
    <col min="2" max="2" width="18.75" customWidth="1"/>
    <col min="4" max="4" width="37.4910714285714" customWidth="1"/>
    <col min="5" max="5" width="33.7767857142857" customWidth="1"/>
    <col min="6" max="6" width="51.9285714285714" customWidth="1"/>
  </cols>
  <sheetData>
    <row r="1" spans="1:6">
      <c r="A1" s="1" t="s">
        <v>104</v>
      </c>
      <c r="B1" s="2"/>
      <c r="C1" s="2"/>
      <c r="D1" s="2"/>
      <c r="E1" s="2"/>
      <c r="F1" s="2"/>
    </row>
    <row r="2" spans="1:6">
      <c r="A2" s="3" t="s">
        <v>105</v>
      </c>
      <c r="B2" s="3" t="s">
        <v>106</v>
      </c>
      <c r="C2" s="3" t="s">
        <v>107</v>
      </c>
      <c r="D2" s="3" t="s">
        <v>52</v>
      </c>
      <c r="E2" s="3" t="s">
        <v>53</v>
      </c>
      <c r="F2" s="3" t="s">
        <v>108</v>
      </c>
    </row>
    <row r="3" spans="1:6">
      <c r="A3" s="4">
        <v>1000000</v>
      </c>
      <c r="B3" s="4">
        <v>20000</v>
      </c>
      <c r="C3" s="5"/>
      <c r="D3" s="6">
        <f>IRR(D4:D40)</f>
        <v>0.00512693807533671</v>
      </c>
      <c r="E3" s="8">
        <f>D3*12</f>
        <v>0.0615232569040405</v>
      </c>
      <c r="F3" s="9">
        <f>A3-B3</f>
        <v>980000</v>
      </c>
    </row>
    <row r="4" spans="1:6">
      <c r="A4" s="3" t="s">
        <v>13</v>
      </c>
      <c r="B4" s="3" t="s">
        <v>14</v>
      </c>
      <c r="C4" s="5">
        <v>0</v>
      </c>
      <c r="D4" s="4">
        <f>A3-B3</f>
        <v>980000</v>
      </c>
      <c r="E4" s="5"/>
      <c r="F4" s="5"/>
    </row>
    <row r="5" spans="1:4">
      <c r="A5" s="7">
        <v>0.048</v>
      </c>
      <c r="B5" s="5">
        <v>3</v>
      </c>
      <c r="C5" s="5">
        <v>1</v>
      </c>
      <c r="D5" s="4">
        <f>PMT(A5/12,B5*12,A3)</f>
        <v>-29881.1841437926</v>
      </c>
    </row>
    <row r="6" spans="1:4">
      <c r="A6" s="5"/>
      <c r="B6" s="5"/>
      <c r="C6" s="5">
        <v>2</v>
      </c>
      <c r="D6" s="4">
        <f>D5</f>
        <v>-29881.1841437926</v>
      </c>
    </row>
    <row r="7" spans="1:6">
      <c r="A7" s="5"/>
      <c r="B7" s="5"/>
      <c r="C7" s="5">
        <v>3</v>
      </c>
      <c r="D7" s="4">
        <f>D6</f>
        <v>-29881.1841437926</v>
      </c>
      <c r="E7" s="3" t="s">
        <v>109</v>
      </c>
      <c r="F7" s="3" t="s">
        <v>110</v>
      </c>
    </row>
    <row r="8" spans="1:6">
      <c r="A8" s="5"/>
      <c r="B8" s="5"/>
      <c r="C8" s="5">
        <v>4</v>
      </c>
      <c r="D8" s="4">
        <f>D7</f>
        <v>-29881.1841437926</v>
      </c>
      <c r="E8" s="10">
        <f>F3*(100%+6%-E3)/B5</f>
        <v>326169.069411347</v>
      </c>
      <c r="F8" s="10">
        <f>F3*(100%+6%-E3)^B5/B5</f>
        <v>325176.14765149</v>
      </c>
    </row>
    <row r="9" spans="1:6">
      <c r="A9" s="5"/>
      <c r="B9" s="5"/>
      <c r="C9" s="5">
        <v>5</v>
      </c>
      <c r="D9" s="4">
        <f>D8</f>
        <v>-29881.1841437926</v>
      </c>
      <c r="E9" s="3" t="s">
        <v>111</v>
      </c>
      <c r="F9" s="3" t="s">
        <v>112</v>
      </c>
    </row>
    <row r="10" spans="1:6">
      <c r="A10" s="5"/>
      <c r="B10" s="5"/>
      <c r="C10" s="5">
        <v>6</v>
      </c>
      <c r="D10" s="4">
        <f>D9</f>
        <v>-29881.1841437926</v>
      </c>
      <c r="E10" s="10">
        <f>F3*(100%+10%-E3)/B5</f>
        <v>339235.736078013</v>
      </c>
      <c r="F10" s="10">
        <f>F3*(100%+10%-E3)^B5/B5</f>
        <v>365843.333466269</v>
      </c>
    </row>
    <row r="11" spans="1:6">
      <c r="A11" s="5"/>
      <c r="B11" s="5"/>
      <c r="C11" s="5">
        <v>7</v>
      </c>
      <c r="D11" s="4">
        <f>D10</f>
        <v>-29881.1841437926</v>
      </c>
      <c r="E11" s="3" t="s">
        <v>113</v>
      </c>
      <c r="F11" s="3" t="s">
        <v>114</v>
      </c>
    </row>
    <row r="12" spans="1:6">
      <c r="A12" s="5"/>
      <c r="B12" s="5"/>
      <c r="C12" s="5">
        <v>8</v>
      </c>
      <c r="D12" s="4">
        <f>D11</f>
        <v>-29881.1841437926</v>
      </c>
      <c r="E12" s="10">
        <f>F3*(100%+15%-E3)/B5</f>
        <v>355569.069411347</v>
      </c>
      <c r="F12" s="10">
        <f>F3*(100%+15%-E3)^B5/B5</f>
        <v>421271.698171796</v>
      </c>
    </row>
    <row r="13" spans="1:6">
      <c r="A13" s="5"/>
      <c r="B13" s="5"/>
      <c r="C13" s="5">
        <v>9</v>
      </c>
      <c r="D13" s="4">
        <f>D12</f>
        <v>-29881.1841437926</v>
      </c>
      <c r="E13" s="5"/>
      <c r="F13" s="5"/>
    </row>
    <row r="14" spans="1:6">
      <c r="A14" s="5"/>
      <c r="B14" s="5"/>
      <c r="C14" s="5">
        <v>10</v>
      </c>
      <c r="D14" s="4">
        <f>D13</f>
        <v>-29881.1841437926</v>
      </c>
      <c r="E14" s="5"/>
      <c r="F14" s="5"/>
    </row>
    <row r="15" spans="1:6">
      <c r="A15" s="5"/>
      <c r="B15" s="5"/>
      <c r="C15" s="5">
        <v>11</v>
      </c>
      <c r="D15" s="4">
        <f>D14</f>
        <v>-29881.1841437926</v>
      </c>
      <c r="E15" s="5"/>
      <c r="F15" s="5"/>
    </row>
    <row r="16" spans="1:6">
      <c r="A16" s="5"/>
      <c r="B16" s="5"/>
      <c r="C16" s="5">
        <v>12</v>
      </c>
      <c r="D16" s="4">
        <f>D15</f>
        <v>-29881.1841437926</v>
      </c>
      <c r="E16" s="5"/>
      <c r="F16" s="5"/>
    </row>
    <row r="17" spans="1:6">
      <c r="A17" s="5"/>
      <c r="B17" s="5"/>
      <c r="C17" s="5">
        <v>13</v>
      </c>
      <c r="D17" s="4">
        <f>D16</f>
        <v>-29881.1841437926</v>
      </c>
      <c r="E17" s="5"/>
      <c r="F17" s="5"/>
    </row>
    <row r="18" spans="1:6">
      <c r="A18" s="5"/>
      <c r="B18" s="5"/>
      <c r="C18" s="5">
        <v>14</v>
      </c>
      <c r="D18" s="4">
        <f>D17</f>
        <v>-29881.1841437926</v>
      </c>
      <c r="E18" s="5"/>
      <c r="F18" s="5"/>
    </row>
    <row r="19" spans="1:6">
      <c r="A19" s="5"/>
      <c r="B19" s="5"/>
      <c r="C19" s="5">
        <v>15</v>
      </c>
      <c r="D19" s="4">
        <f>D18</f>
        <v>-29881.1841437926</v>
      </c>
      <c r="E19" s="5"/>
      <c r="F19" s="5"/>
    </row>
    <row r="20" spans="1:6">
      <c r="A20" s="5"/>
      <c r="B20" s="5"/>
      <c r="C20" s="5">
        <v>16</v>
      </c>
      <c r="D20" s="4">
        <f>D19</f>
        <v>-29881.1841437926</v>
      </c>
      <c r="E20" s="5"/>
      <c r="F20" s="5"/>
    </row>
    <row r="21" spans="1:6">
      <c r="A21" s="5"/>
      <c r="B21" s="5"/>
      <c r="C21" s="5">
        <v>17</v>
      </c>
      <c r="D21" s="4">
        <f>D20</f>
        <v>-29881.1841437926</v>
      </c>
      <c r="E21" s="5"/>
      <c r="F21" s="5"/>
    </row>
    <row r="22" spans="1:6">
      <c r="A22" s="5"/>
      <c r="B22" s="5"/>
      <c r="C22" s="5">
        <v>18</v>
      </c>
      <c r="D22" s="4">
        <f>D21</f>
        <v>-29881.1841437926</v>
      </c>
      <c r="E22" s="5"/>
      <c r="F22" s="5"/>
    </row>
    <row r="23" spans="1:6">
      <c r="A23" s="5"/>
      <c r="B23" s="5"/>
      <c r="C23" s="5">
        <v>19</v>
      </c>
      <c r="D23" s="4">
        <f>D22</f>
        <v>-29881.1841437926</v>
      </c>
      <c r="E23" s="5"/>
      <c r="F23" s="5"/>
    </row>
    <row r="24" spans="1:6">
      <c r="A24" s="5"/>
      <c r="B24" s="5"/>
      <c r="C24" s="5">
        <v>20</v>
      </c>
      <c r="D24" s="4">
        <f>D23</f>
        <v>-29881.1841437926</v>
      </c>
      <c r="E24" s="5"/>
      <c r="F24" s="5"/>
    </row>
    <row r="25" spans="1:6">
      <c r="A25" s="5"/>
      <c r="B25" s="5"/>
      <c r="C25" s="5">
        <v>21</v>
      </c>
      <c r="D25" s="4">
        <f>D24</f>
        <v>-29881.1841437926</v>
      </c>
      <c r="E25" s="5"/>
      <c r="F25" s="5"/>
    </row>
    <row r="26" spans="1:6">
      <c r="A26" s="5"/>
      <c r="B26" s="5"/>
      <c r="C26" s="5">
        <v>22</v>
      </c>
      <c r="D26" s="4">
        <f>D25</f>
        <v>-29881.1841437926</v>
      </c>
      <c r="E26" s="5"/>
      <c r="F26" s="5"/>
    </row>
    <row r="27" spans="1:6">
      <c r="A27" s="5"/>
      <c r="B27" s="5"/>
      <c r="C27" s="5">
        <v>23</v>
      </c>
      <c r="D27" s="4">
        <f>D26</f>
        <v>-29881.1841437926</v>
      </c>
      <c r="E27" s="5"/>
      <c r="F27" s="5"/>
    </row>
    <row r="28" spans="1:6">
      <c r="A28" s="5"/>
      <c r="B28" s="5"/>
      <c r="C28" s="5">
        <v>24</v>
      </c>
      <c r="D28" s="4">
        <f>D27</f>
        <v>-29881.1841437926</v>
      </c>
      <c r="E28" s="5"/>
      <c r="F28" s="5"/>
    </row>
    <row r="29" spans="1:6">
      <c r="A29" s="5"/>
      <c r="B29" s="5"/>
      <c r="C29" s="5">
        <v>25</v>
      </c>
      <c r="D29" s="4">
        <f>D28</f>
        <v>-29881.1841437926</v>
      </c>
      <c r="E29" s="5"/>
      <c r="F29" s="5"/>
    </row>
    <row r="30" spans="1:6">
      <c r="A30" s="5"/>
      <c r="B30" s="5"/>
      <c r="C30" s="5">
        <v>26</v>
      </c>
      <c r="D30" s="4">
        <f>D29</f>
        <v>-29881.1841437926</v>
      </c>
      <c r="E30" s="5"/>
      <c r="F30" s="5"/>
    </row>
    <row r="31" spans="1:6">
      <c r="A31" s="5"/>
      <c r="B31" s="5"/>
      <c r="C31" s="5">
        <v>27</v>
      </c>
      <c r="D31" s="4">
        <f>D30</f>
        <v>-29881.1841437926</v>
      </c>
      <c r="E31" s="5"/>
      <c r="F31" s="5"/>
    </row>
    <row r="32" spans="1:6">
      <c r="A32" s="5"/>
      <c r="B32" s="5"/>
      <c r="C32" s="5">
        <v>28</v>
      </c>
      <c r="D32" s="4">
        <f>D31</f>
        <v>-29881.1841437926</v>
      </c>
      <c r="E32" s="5"/>
      <c r="F32" s="5"/>
    </row>
    <row r="33" spans="1:6">
      <c r="A33" s="5"/>
      <c r="B33" s="5"/>
      <c r="C33" s="5">
        <v>29</v>
      </c>
      <c r="D33" s="4">
        <f>D32</f>
        <v>-29881.1841437926</v>
      </c>
      <c r="E33" s="5"/>
      <c r="F33" s="5"/>
    </row>
    <row r="34" spans="1:6">
      <c r="A34" s="5"/>
      <c r="B34" s="5"/>
      <c r="C34" s="5">
        <v>30</v>
      </c>
      <c r="D34" s="4">
        <f>D33</f>
        <v>-29881.1841437926</v>
      </c>
      <c r="E34" s="5"/>
      <c r="F34" s="5"/>
    </row>
    <row r="35" spans="1:6">
      <c r="A35" s="5"/>
      <c r="B35" s="5"/>
      <c r="C35" s="5">
        <v>31</v>
      </c>
      <c r="D35" s="4">
        <f>D34</f>
        <v>-29881.1841437926</v>
      </c>
      <c r="E35" s="5"/>
      <c r="F35" s="5"/>
    </row>
    <row r="36" spans="1:6">
      <c r="A36" s="5"/>
      <c r="B36" s="5"/>
      <c r="C36" s="5">
        <v>32</v>
      </c>
      <c r="D36" s="4">
        <f>D35</f>
        <v>-29881.1841437926</v>
      </c>
      <c r="E36" s="5"/>
      <c r="F36" s="5"/>
    </row>
    <row r="37" spans="1:6">
      <c r="A37" s="5"/>
      <c r="B37" s="5"/>
      <c r="C37" s="5">
        <v>33</v>
      </c>
      <c r="D37" s="4">
        <f>D36</f>
        <v>-29881.1841437926</v>
      </c>
      <c r="E37" s="5"/>
      <c r="F37" s="5"/>
    </row>
    <row r="38" spans="1:6">
      <c r="A38" s="5"/>
      <c r="B38" s="5"/>
      <c r="C38" s="5">
        <v>34</v>
      </c>
      <c r="D38" s="4">
        <f>D37</f>
        <v>-29881.1841437926</v>
      </c>
      <c r="E38" s="5"/>
      <c r="F38" s="5"/>
    </row>
    <row r="39" spans="1:6">
      <c r="A39" s="5"/>
      <c r="B39" s="5"/>
      <c r="C39" s="5">
        <v>35</v>
      </c>
      <c r="D39" s="4">
        <f>D38</f>
        <v>-29881.1841437926</v>
      </c>
      <c r="E39" s="5"/>
      <c r="F39" s="5"/>
    </row>
    <row r="40" spans="1:6">
      <c r="A40" s="5"/>
      <c r="B40" s="5"/>
      <c r="C40" s="5">
        <v>36</v>
      </c>
      <c r="D40" s="4">
        <f>D39</f>
        <v>-29881.1841437926</v>
      </c>
      <c r="E40" s="5"/>
      <c r="F40" s="5"/>
    </row>
    <row r="41" spans="1:6">
      <c r="A41" s="5"/>
      <c r="B41" s="5"/>
      <c r="C41" s="5"/>
      <c r="D41" s="4"/>
      <c r="E41" s="5"/>
      <c r="F41" s="5"/>
    </row>
    <row r="42" spans="1:6">
      <c r="A42" s="5"/>
      <c r="B42" s="5"/>
      <c r="C42" s="5"/>
      <c r="D42" s="4"/>
      <c r="E42" s="5"/>
      <c r="F42" s="5"/>
    </row>
    <row r="43" spans="1:6">
      <c r="A43" s="5"/>
      <c r="B43" s="5"/>
      <c r="C43" s="5"/>
      <c r="D43" s="4"/>
      <c r="E43" s="5"/>
      <c r="F43" s="5"/>
    </row>
    <row r="44" spans="1:6">
      <c r="A44" s="5"/>
      <c r="B44" s="5"/>
      <c r="C44" s="5"/>
      <c r="D44" s="4"/>
      <c r="E44" s="5"/>
      <c r="F44" s="5"/>
    </row>
    <row r="45" spans="1:6">
      <c r="A45" s="5"/>
      <c r="B45" s="5"/>
      <c r="C45" s="5"/>
      <c r="D45" s="4"/>
      <c r="E45" s="5"/>
      <c r="F45" s="5"/>
    </row>
    <row r="46" spans="1:6">
      <c r="A46" s="5"/>
      <c r="B46" s="5"/>
      <c r="C46" s="5"/>
      <c r="D46" s="4"/>
      <c r="E46" s="5"/>
      <c r="F46" s="5"/>
    </row>
    <row r="47" spans="1:6">
      <c r="A47" s="5"/>
      <c r="B47" s="5"/>
      <c r="C47" s="5"/>
      <c r="D47" s="4"/>
      <c r="E47" s="5"/>
      <c r="F47" s="5"/>
    </row>
    <row r="48" spans="1:6">
      <c r="A48" s="5"/>
      <c r="B48" s="5"/>
      <c r="C48" s="5"/>
      <c r="D48" s="4"/>
      <c r="E48" s="5"/>
      <c r="F48" s="5"/>
    </row>
    <row r="49" spans="1:6">
      <c r="A49" s="5"/>
      <c r="B49" s="5"/>
      <c r="C49" s="5"/>
      <c r="D49" s="4"/>
      <c r="E49" s="5"/>
      <c r="F49" s="5"/>
    </row>
    <row r="50" spans="1:6">
      <c r="A50" s="5"/>
      <c r="B50" s="5"/>
      <c r="C50" s="5"/>
      <c r="D50" s="4"/>
      <c r="E50" s="5"/>
      <c r="F50" s="5"/>
    </row>
    <row r="51" spans="1:6">
      <c r="A51" s="5"/>
      <c r="B51" s="5"/>
      <c r="C51" s="5"/>
      <c r="D51" s="4"/>
      <c r="E51" s="5"/>
      <c r="F51" s="5"/>
    </row>
    <row r="52" spans="1:6">
      <c r="A52" s="5"/>
      <c r="B52" s="5"/>
      <c r="C52" s="5"/>
      <c r="D52" s="4"/>
      <c r="E52" s="5"/>
      <c r="F52" s="5"/>
    </row>
    <row r="53" spans="1:6">
      <c r="A53" s="5"/>
      <c r="B53" s="5"/>
      <c r="C53" s="5"/>
      <c r="D53" s="4"/>
      <c r="E53" s="5"/>
      <c r="F53" s="5"/>
    </row>
    <row r="54" spans="1:6">
      <c r="A54" s="5"/>
      <c r="B54" s="5"/>
      <c r="C54" s="5"/>
      <c r="D54" s="4"/>
      <c r="E54" s="5"/>
      <c r="F54" s="5"/>
    </row>
    <row r="55" spans="1:6">
      <c r="A55" s="5"/>
      <c r="B55" s="5"/>
      <c r="C55" s="5"/>
      <c r="D55" s="4"/>
      <c r="E55" s="5"/>
      <c r="F55" s="5"/>
    </row>
    <row r="56" spans="1:6">
      <c r="A56" s="5"/>
      <c r="B56" s="5"/>
      <c r="C56" s="5"/>
      <c r="D56" s="4"/>
      <c r="E56" s="5"/>
      <c r="F56" s="5"/>
    </row>
    <row r="57" spans="1:6">
      <c r="A57" s="5"/>
      <c r="B57" s="5"/>
      <c r="C57" s="5"/>
      <c r="D57" s="4"/>
      <c r="E57" s="5"/>
      <c r="F57" s="5"/>
    </row>
    <row r="58" spans="1:6">
      <c r="A58" s="5"/>
      <c r="B58" s="5"/>
      <c r="C58" s="5"/>
      <c r="D58" s="4"/>
      <c r="E58" s="5"/>
      <c r="F58" s="5"/>
    </row>
    <row r="59" spans="1:6">
      <c r="A59" s="5"/>
      <c r="B59" s="5"/>
      <c r="C59" s="5"/>
      <c r="D59" s="4"/>
      <c r="E59" s="5"/>
      <c r="F59" s="5"/>
    </row>
    <row r="60" spans="1:6">
      <c r="A60" s="5"/>
      <c r="B60" s="5"/>
      <c r="C60" s="5"/>
      <c r="D60" s="4"/>
      <c r="E60" s="5"/>
      <c r="F60" s="5"/>
    </row>
    <row r="61" spans="1:6">
      <c r="A61" s="5"/>
      <c r="B61" s="5"/>
      <c r="C61" s="5"/>
      <c r="D61" s="4"/>
      <c r="E61" s="5"/>
      <c r="F61" s="5"/>
    </row>
    <row r="62" spans="1:6">
      <c r="A62" s="5"/>
      <c r="B62" s="5"/>
      <c r="C62" s="5"/>
      <c r="D62" s="4"/>
      <c r="E62" s="5"/>
      <c r="F62" s="5"/>
    </row>
    <row r="63" spans="1:6">
      <c r="A63" s="5"/>
      <c r="B63" s="5"/>
      <c r="C63" s="5"/>
      <c r="D63" s="4"/>
      <c r="E63" s="5"/>
      <c r="F63" s="5"/>
    </row>
    <row r="64" spans="1:6">
      <c r="A64" s="5"/>
      <c r="B64" s="5"/>
      <c r="C64" s="5"/>
      <c r="D64" s="4"/>
      <c r="E64" s="5"/>
      <c r="F64" s="5"/>
    </row>
    <row r="65" spans="1:6">
      <c r="A65" s="5"/>
      <c r="B65" s="5"/>
      <c r="C65" s="5"/>
      <c r="D65" s="4"/>
      <c r="E65" s="5"/>
      <c r="F65" s="5"/>
    </row>
    <row r="66" spans="1:6">
      <c r="A66" s="5"/>
      <c r="B66" s="5"/>
      <c r="C66" s="5"/>
      <c r="D66" s="4"/>
      <c r="E66" s="5"/>
      <c r="F66" s="5"/>
    </row>
    <row r="67" spans="1:6">
      <c r="A67" s="5"/>
      <c r="B67" s="5"/>
      <c r="C67" s="5"/>
      <c r="D67" s="4"/>
      <c r="E67" s="5"/>
      <c r="F67" s="5"/>
    </row>
    <row r="68" spans="1:6">
      <c r="A68" s="5"/>
      <c r="B68" s="5"/>
      <c r="C68" s="5"/>
      <c r="D68" s="4"/>
      <c r="E68" s="5"/>
      <c r="F68" s="5"/>
    </row>
    <row r="69" spans="1:6">
      <c r="A69" s="5"/>
      <c r="B69" s="5"/>
      <c r="C69" s="5"/>
      <c r="D69" s="4"/>
      <c r="E69" s="5"/>
      <c r="F69" s="5"/>
    </row>
    <row r="70" spans="1:6">
      <c r="A70" s="5"/>
      <c r="B70" s="5"/>
      <c r="C70" s="5"/>
      <c r="D70" s="4"/>
      <c r="E70" s="5"/>
      <c r="F70" s="5"/>
    </row>
    <row r="71" spans="1:6">
      <c r="A71" s="5"/>
      <c r="B71" s="5"/>
      <c r="C71" s="5"/>
      <c r="D71" s="4"/>
      <c r="E71" s="5"/>
      <c r="F71" s="5"/>
    </row>
    <row r="72" spans="1:6">
      <c r="A72" s="5"/>
      <c r="B72" s="5"/>
      <c r="C72" s="5"/>
      <c r="D72" s="4"/>
      <c r="E72" s="5"/>
      <c r="F72" s="5"/>
    </row>
    <row r="73" spans="1:6">
      <c r="A73" s="5"/>
      <c r="B73" s="5"/>
      <c r="C73" s="5"/>
      <c r="D73" s="4"/>
      <c r="E73" s="5"/>
      <c r="F73" s="5"/>
    </row>
    <row r="74" spans="1:6">
      <c r="A74" s="5"/>
      <c r="B74" s="5"/>
      <c r="C74" s="5"/>
      <c r="D74" s="4"/>
      <c r="E74" s="5"/>
      <c r="F74" s="5"/>
    </row>
    <row r="75" spans="1:6">
      <c r="A75" s="5"/>
      <c r="B75" s="5"/>
      <c r="C75" s="5"/>
      <c r="D75" s="4"/>
      <c r="E75" s="5"/>
      <c r="F75" s="5"/>
    </row>
    <row r="76" spans="1:6">
      <c r="A76" s="5"/>
      <c r="B76" s="5"/>
      <c r="C76" s="5"/>
      <c r="D76" s="4"/>
      <c r="E76" s="5"/>
      <c r="F76" s="5"/>
    </row>
    <row r="77" spans="1:6">
      <c r="A77" s="5"/>
      <c r="B77" s="5"/>
      <c r="C77" s="5"/>
      <c r="D77" s="4"/>
      <c r="E77" s="5"/>
      <c r="F77" s="5"/>
    </row>
    <row r="78" spans="1:6">
      <c r="A78" s="5"/>
      <c r="B78" s="5"/>
      <c r="C78" s="5"/>
      <c r="D78" s="4"/>
      <c r="E78" s="5"/>
      <c r="F78" s="5"/>
    </row>
    <row r="79" spans="1:6">
      <c r="A79" s="5"/>
      <c r="B79" s="5"/>
      <c r="C79" s="5"/>
      <c r="D79" s="4"/>
      <c r="E79" s="5"/>
      <c r="F79" s="5"/>
    </row>
    <row r="80" spans="1:6">
      <c r="A80" s="5"/>
      <c r="B80" s="5"/>
      <c r="C80" s="5"/>
      <c r="D80" s="4"/>
      <c r="E80" s="5"/>
      <c r="F80" s="5"/>
    </row>
    <row r="81" spans="1:6">
      <c r="A81" s="5"/>
      <c r="B81" s="5"/>
      <c r="C81" s="5"/>
      <c r="D81" s="4"/>
      <c r="E81" s="5"/>
      <c r="F81" s="5"/>
    </row>
    <row r="82" spans="1:6">
      <c r="A82" s="5"/>
      <c r="B82" s="5"/>
      <c r="C82" s="5"/>
      <c r="D82" s="4"/>
      <c r="E82" s="5"/>
      <c r="F82" s="5"/>
    </row>
    <row r="83" spans="1:6">
      <c r="A83" s="5"/>
      <c r="B83" s="5"/>
      <c r="C83" s="5"/>
      <c r="D83" s="4"/>
      <c r="E83" s="5"/>
      <c r="F83" s="5"/>
    </row>
    <row r="84" spans="1:6">
      <c r="A84" s="5"/>
      <c r="B84" s="5"/>
      <c r="C84" s="5"/>
      <c r="D84" s="4"/>
      <c r="E84" s="5"/>
      <c r="F84" s="5"/>
    </row>
    <row r="85" spans="1:6">
      <c r="A85" s="5"/>
      <c r="B85" s="5"/>
      <c r="C85" s="5"/>
      <c r="D85" s="4"/>
      <c r="E85" s="5"/>
      <c r="F85" s="5"/>
    </row>
    <row r="86" spans="1:6">
      <c r="A86" s="5"/>
      <c r="B86" s="5"/>
      <c r="C86" s="5"/>
      <c r="D86" s="4"/>
      <c r="E86" s="5"/>
      <c r="F86" s="5"/>
    </row>
    <row r="87" spans="1:6">
      <c r="A87" s="5"/>
      <c r="B87" s="5"/>
      <c r="C87" s="5"/>
      <c r="D87" s="4"/>
      <c r="E87" s="5"/>
      <c r="F87" s="5"/>
    </row>
    <row r="88" spans="1:6">
      <c r="A88" s="5"/>
      <c r="B88" s="5"/>
      <c r="C88" s="5"/>
      <c r="D88" s="4"/>
      <c r="E88" s="5"/>
      <c r="F88" s="5"/>
    </row>
    <row r="89" spans="1:6">
      <c r="A89" s="5"/>
      <c r="B89" s="5"/>
      <c r="C89" s="5"/>
      <c r="D89" s="4"/>
      <c r="E89" s="5"/>
      <c r="F89" s="5"/>
    </row>
    <row r="90" spans="1:6">
      <c r="A90" s="5"/>
      <c r="B90" s="5"/>
      <c r="C90" s="5"/>
      <c r="D90" s="4"/>
      <c r="E90" s="5"/>
      <c r="F90" s="5"/>
    </row>
    <row r="91" spans="1:6">
      <c r="A91" s="5"/>
      <c r="B91" s="5"/>
      <c r="C91" s="5"/>
      <c r="D91" s="4"/>
      <c r="E91" s="5"/>
      <c r="F91" s="5"/>
    </row>
    <row r="92" spans="1:6">
      <c r="A92" s="5"/>
      <c r="B92" s="5"/>
      <c r="C92" s="5"/>
      <c r="D92" s="4"/>
      <c r="E92" s="5"/>
      <c r="F92" s="5"/>
    </row>
    <row r="93" spans="1:6">
      <c r="A93" s="5"/>
      <c r="B93" s="5"/>
      <c r="C93" s="5"/>
      <c r="D93" s="4"/>
      <c r="E93" s="5"/>
      <c r="F93" s="5"/>
    </row>
    <row r="94" spans="1:6">
      <c r="A94" s="5"/>
      <c r="B94" s="5"/>
      <c r="C94" s="5"/>
      <c r="D94" s="4"/>
      <c r="E94" s="5"/>
      <c r="F94" s="5"/>
    </row>
    <row r="95" spans="1:6">
      <c r="A95" s="5"/>
      <c r="B95" s="5"/>
      <c r="C95" s="5"/>
      <c r="D95" s="4"/>
      <c r="E95" s="5"/>
      <c r="F95" s="5"/>
    </row>
    <row r="96" spans="1:6">
      <c r="A96" s="5"/>
      <c r="B96" s="5"/>
      <c r="C96" s="5"/>
      <c r="D96" s="4"/>
      <c r="E96" s="5"/>
      <c r="F96" s="5"/>
    </row>
    <row r="97" spans="1:6">
      <c r="A97" s="5"/>
      <c r="B97" s="5"/>
      <c r="C97" s="5"/>
      <c r="D97" s="4"/>
      <c r="E97" s="5"/>
      <c r="F97" s="5"/>
    </row>
    <row r="98" spans="1:6">
      <c r="A98" s="5"/>
      <c r="B98" s="5"/>
      <c r="C98" s="5"/>
      <c r="D98" s="4"/>
      <c r="E98" s="5"/>
      <c r="F98" s="5"/>
    </row>
    <row r="99" spans="1:6">
      <c r="A99" s="5"/>
      <c r="B99" s="5"/>
      <c r="C99" s="5"/>
      <c r="D99" s="4"/>
      <c r="E99" s="5"/>
      <c r="F99" s="5"/>
    </row>
    <row r="100" spans="1:6">
      <c r="A100" s="5"/>
      <c r="B100" s="5"/>
      <c r="C100" s="5"/>
      <c r="D100" s="4"/>
      <c r="E100" s="5"/>
      <c r="F100" s="5"/>
    </row>
    <row r="101" spans="1:6">
      <c r="A101" s="5"/>
      <c r="B101" s="5"/>
      <c r="C101" s="5"/>
      <c r="D101" s="4"/>
      <c r="E101" s="5"/>
      <c r="F101" s="5"/>
    </row>
    <row r="102" spans="1:6">
      <c r="A102" s="5"/>
      <c r="B102" s="5"/>
      <c r="C102" s="5"/>
      <c r="D102" s="4"/>
      <c r="E102" s="5"/>
      <c r="F102" s="5"/>
    </row>
    <row r="103" spans="1:6">
      <c r="A103" s="5"/>
      <c r="B103" s="5"/>
      <c r="C103" s="5"/>
      <c r="D103" s="4"/>
      <c r="E103" s="5"/>
      <c r="F103" s="5"/>
    </row>
    <row r="104" spans="1:6">
      <c r="A104" s="5"/>
      <c r="B104" s="5"/>
      <c r="C104" s="5"/>
      <c r="D104" s="4"/>
      <c r="E104" s="5"/>
      <c r="F104" s="5"/>
    </row>
    <row r="105" spans="1:6">
      <c r="A105" s="5"/>
      <c r="B105" s="5"/>
      <c r="C105" s="5"/>
      <c r="D105" s="4"/>
      <c r="E105" s="5"/>
      <c r="F105" s="5"/>
    </row>
    <row r="106" spans="1:6">
      <c r="A106" s="5"/>
      <c r="B106" s="5"/>
      <c r="C106" s="5"/>
      <c r="D106" s="4"/>
      <c r="E106" s="5"/>
      <c r="F106" s="5"/>
    </row>
    <row r="107" spans="1:6">
      <c r="A107" s="5"/>
      <c r="B107" s="5"/>
      <c r="C107" s="5"/>
      <c r="D107" s="4"/>
      <c r="E107" s="5"/>
      <c r="F107" s="5"/>
    </row>
    <row r="108" spans="1:6">
      <c r="A108" s="5"/>
      <c r="B108" s="5"/>
      <c r="C108" s="5"/>
      <c r="D108" s="4"/>
      <c r="E108" s="5"/>
      <c r="F108" s="5"/>
    </row>
    <row r="109" spans="1:6">
      <c r="A109" s="5"/>
      <c r="B109" s="5"/>
      <c r="C109" s="5"/>
      <c r="D109" s="4"/>
      <c r="E109" s="5"/>
      <c r="F109" s="5"/>
    </row>
    <row r="110" spans="1:6">
      <c r="A110" s="5"/>
      <c r="B110" s="5"/>
      <c r="C110" s="5"/>
      <c r="D110" s="4"/>
      <c r="E110" s="5"/>
      <c r="F110" s="5"/>
    </row>
    <row r="111" spans="1:6">
      <c r="A111" s="5"/>
      <c r="B111" s="5"/>
      <c r="C111" s="5"/>
      <c r="D111" s="4"/>
      <c r="E111" s="5"/>
      <c r="F111" s="5"/>
    </row>
    <row r="112" spans="1:6">
      <c r="A112" s="5"/>
      <c r="B112" s="5"/>
      <c r="C112" s="5"/>
      <c r="D112" s="4"/>
      <c r="E112" s="5"/>
      <c r="F112" s="5"/>
    </row>
    <row r="113" spans="1:6">
      <c r="A113" s="5"/>
      <c r="B113" s="5"/>
      <c r="C113" s="5"/>
      <c r="D113" s="4"/>
      <c r="E113" s="5"/>
      <c r="F113" s="5"/>
    </row>
    <row r="114" spans="1:6">
      <c r="A114" s="5"/>
      <c r="B114" s="5"/>
      <c r="C114" s="5"/>
      <c r="D114" s="4"/>
      <c r="E114" s="5"/>
      <c r="F114" s="5"/>
    </row>
    <row r="115" spans="1:6">
      <c r="A115" s="5"/>
      <c r="B115" s="5"/>
      <c r="C115" s="5"/>
      <c r="D115" s="4"/>
      <c r="E115" s="5"/>
      <c r="F115" s="5"/>
    </row>
    <row r="116" spans="1:6">
      <c r="A116" s="5"/>
      <c r="B116" s="5"/>
      <c r="C116" s="5"/>
      <c r="D116" s="4"/>
      <c r="E116" s="5"/>
      <c r="F116" s="5"/>
    </row>
    <row r="117" spans="1:6">
      <c r="A117" s="5"/>
      <c r="B117" s="5"/>
      <c r="C117" s="5"/>
      <c r="D117" s="4"/>
      <c r="E117" s="5"/>
      <c r="F117" s="5"/>
    </row>
    <row r="118" spans="1:6">
      <c r="A118" s="5"/>
      <c r="B118" s="5"/>
      <c r="C118" s="5"/>
      <c r="D118" s="4"/>
      <c r="E118" s="5"/>
      <c r="F118" s="5"/>
    </row>
    <row r="119" spans="1:6">
      <c r="A119" s="5"/>
      <c r="B119" s="5"/>
      <c r="C119" s="5"/>
      <c r="D119" s="4"/>
      <c r="E119" s="5"/>
      <c r="F119" s="5"/>
    </row>
    <row r="120" spans="1:6">
      <c r="A120" s="5"/>
      <c r="B120" s="5"/>
      <c r="C120" s="5"/>
      <c r="D120" s="4"/>
      <c r="E120" s="5"/>
      <c r="F120" s="5"/>
    </row>
    <row r="121" spans="1:6">
      <c r="A121" s="5"/>
      <c r="B121" s="5"/>
      <c r="C121" s="5"/>
      <c r="D121" s="4"/>
      <c r="E121" s="5"/>
      <c r="F121" s="5"/>
    </row>
    <row r="122" spans="1:6">
      <c r="A122" s="5"/>
      <c r="B122" s="5"/>
      <c r="C122" s="5"/>
      <c r="D122" s="4"/>
      <c r="E122" s="5"/>
      <c r="F122" s="5"/>
    </row>
    <row r="123" spans="1:6">
      <c r="A123" s="5"/>
      <c r="B123" s="5"/>
      <c r="C123" s="5"/>
      <c r="D123" s="4"/>
      <c r="E123" s="5"/>
      <c r="F123" s="5"/>
    </row>
    <row r="124" spans="1:6">
      <c r="A124" s="5"/>
      <c r="B124" s="5"/>
      <c r="C124" s="5"/>
      <c r="D124" s="4"/>
      <c r="E124" s="5"/>
      <c r="F124" s="5"/>
    </row>
    <row r="125" spans="1:6">
      <c r="A125" s="5"/>
      <c r="B125" s="5"/>
      <c r="C125" s="5"/>
      <c r="D125" s="4"/>
      <c r="E125" s="5"/>
      <c r="F125" s="5"/>
    </row>
    <row r="126" spans="1:6">
      <c r="A126" s="5"/>
      <c r="B126" s="5"/>
      <c r="C126" s="5"/>
      <c r="D126" s="4"/>
      <c r="E126" s="5"/>
      <c r="F126" s="5"/>
    </row>
    <row r="127" spans="1:6">
      <c r="A127" s="5"/>
      <c r="B127" s="5"/>
      <c r="C127" s="5"/>
      <c r="D127" s="4"/>
      <c r="E127" s="5"/>
      <c r="F127" s="5"/>
    </row>
    <row r="128" spans="1:6">
      <c r="A128" s="5"/>
      <c r="B128" s="5"/>
      <c r="C128" s="5"/>
      <c r="D128" s="4"/>
      <c r="E128" s="5"/>
      <c r="F128" s="5"/>
    </row>
    <row r="129" spans="1:6">
      <c r="A129" s="5"/>
      <c r="B129" s="5"/>
      <c r="C129" s="5"/>
      <c r="D129" s="4"/>
      <c r="E129" s="5"/>
      <c r="F129" s="5"/>
    </row>
    <row r="130" spans="1:6">
      <c r="A130" s="5"/>
      <c r="B130" s="5"/>
      <c r="C130" s="5"/>
      <c r="D130" s="4"/>
      <c r="E130" s="5"/>
      <c r="F130" s="5"/>
    </row>
    <row r="131" spans="1:6">
      <c r="A131" s="5"/>
      <c r="B131" s="5"/>
      <c r="C131" s="5"/>
      <c r="D131" s="4"/>
      <c r="E131" s="5"/>
      <c r="F131" s="5"/>
    </row>
    <row r="132" spans="1:6">
      <c r="A132" s="5"/>
      <c r="B132" s="5"/>
      <c r="C132" s="5"/>
      <c r="D132" s="4"/>
      <c r="E132" s="5"/>
      <c r="F132" s="5"/>
    </row>
    <row r="133" spans="1:6">
      <c r="A133" s="5"/>
      <c r="B133" s="5"/>
      <c r="C133" s="5"/>
      <c r="D133" s="4"/>
      <c r="E133" s="5"/>
      <c r="F133" s="5"/>
    </row>
    <row r="134" spans="1:6">
      <c r="A134" s="5"/>
      <c r="B134" s="5"/>
      <c r="C134" s="5"/>
      <c r="D134" s="4"/>
      <c r="E134" s="5"/>
      <c r="F134" s="5"/>
    </row>
    <row r="135" spans="1:6">
      <c r="A135" s="5"/>
      <c r="B135" s="5"/>
      <c r="C135" s="5"/>
      <c r="D135" s="4"/>
      <c r="E135" s="5"/>
      <c r="F135" s="5"/>
    </row>
    <row r="136" spans="1:6">
      <c r="A136" s="5"/>
      <c r="B136" s="5"/>
      <c r="C136" s="5"/>
      <c r="D136" s="4"/>
      <c r="E136" s="5"/>
      <c r="F136" s="5"/>
    </row>
    <row r="137" spans="1:6">
      <c r="A137" s="5"/>
      <c r="B137" s="5"/>
      <c r="C137" s="5"/>
      <c r="D137" s="4"/>
      <c r="E137" s="5"/>
      <c r="F137" s="5"/>
    </row>
    <row r="138" spans="1:6">
      <c r="A138" s="5"/>
      <c r="B138" s="5"/>
      <c r="C138" s="5"/>
      <c r="D138" s="4"/>
      <c r="E138" s="5"/>
      <c r="F138" s="5"/>
    </row>
    <row r="139" spans="1:6">
      <c r="A139" s="5"/>
      <c r="B139" s="5"/>
      <c r="C139" s="5"/>
      <c r="D139" s="4"/>
      <c r="E139" s="5"/>
      <c r="F139" s="5"/>
    </row>
    <row r="140" spans="1:6">
      <c r="A140" s="5"/>
      <c r="B140" s="5"/>
      <c r="C140" s="5"/>
      <c r="D140" s="4"/>
      <c r="E140" s="5"/>
      <c r="F140" s="5"/>
    </row>
    <row r="141" spans="1:6">
      <c r="A141" s="5"/>
      <c r="B141" s="5"/>
      <c r="C141" s="5"/>
      <c r="D141" s="4"/>
      <c r="E141" s="5"/>
      <c r="F141" s="5"/>
    </row>
    <row r="142" spans="1:6">
      <c r="A142" s="5"/>
      <c r="B142" s="5"/>
      <c r="C142" s="5"/>
      <c r="D142" s="4"/>
      <c r="E142" s="5"/>
      <c r="F142" s="5"/>
    </row>
    <row r="143" spans="1:6">
      <c r="A143" s="5"/>
      <c r="B143" s="5"/>
      <c r="C143" s="5"/>
      <c r="D143" s="4"/>
      <c r="E143" s="5"/>
      <c r="F143" s="5"/>
    </row>
    <row r="144" spans="1:6">
      <c r="A144" s="5"/>
      <c r="B144" s="5"/>
      <c r="C144" s="5"/>
      <c r="D144" s="4"/>
      <c r="E144" s="5"/>
      <c r="F144" s="5"/>
    </row>
    <row r="145" spans="1:6">
      <c r="A145" s="5"/>
      <c r="B145" s="5"/>
      <c r="C145" s="5"/>
      <c r="D145" s="4"/>
      <c r="E145" s="5"/>
      <c r="F145" s="5"/>
    </row>
    <row r="146" spans="1:6">
      <c r="A146" s="5"/>
      <c r="B146" s="5"/>
      <c r="C146" s="5"/>
      <c r="D146" s="4"/>
      <c r="E146" s="5"/>
      <c r="F146" s="5"/>
    </row>
    <row r="147" spans="1:6">
      <c r="A147" s="5"/>
      <c r="B147" s="5"/>
      <c r="C147" s="5"/>
      <c r="D147" s="4"/>
      <c r="E147" s="5"/>
      <c r="F147" s="5"/>
    </row>
    <row r="148" spans="1:6">
      <c r="A148" s="5"/>
      <c r="B148" s="5"/>
      <c r="C148" s="5"/>
      <c r="D148" s="4"/>
      <c r="E148" s="5"/>
      <c r="F148" s="5"/>
    </row>
    <row r="149" spans="1:6">
      <c r="A149" s="5"/>
      <c r="B149" s="5"/>
      <c r="C149" s="5"/>
      <c r="D149" s="4"/>
      <c r="E149" s="5"/>
      <c r="F149" s="5"/>
    </row>
    <row r="150" spans="1:6">
      <c r="A150" s="5"/>
      <c r="B150" s="5"/>
      <c r="C150" s="5"/>
      <c r="D150" s="4"/>
      <c r="E150" s="5"/>
      <c r="F150" s="5"/>
    </row>
    <row r="151" spans="1:6">
      <c r="A151" s="5"/>
      <c r="B151" s="5"/>
      <c r="C151" s="5"/>
      <c r="D151" s="4"/>
      <c r="E151" s="5"/>
      <c r="F151" s="5"/>
    </row>
    <row r="152" spans="1:6">
      <c r="A152" s="5"/>
      <c r="B152" s="5"/>
      <c r="C152" s="5"/>
      <c r="D152" s="4"/>
      <c r="E152" s="5"/>
      <c r="F152" s="5"/>
    </row>
    <row r="153" spans="1:6">
      <c r="A153" s="5"/>
      <c r="B153" s="5"/>
      <c r="C153" s="5"/>
      <c r="D153" s="4"/>
      <c r="E153" s="5"/>
      <c r="F153" s="5"/>
    </row>
    <row r="154" spans="1:6">
      <c r="A154" s="5"/>
      <c r="B154" s="5"/>
      <c r="C154" s="5"/>
      <c r="D154" s="4"/>
      <c r="E154" s="5"/>
      <c r="F154" s="5"/>
    </row>
    <row r="155" spans="1:6">
      <c r="A155" s="5"/>
      <c r="B155" s="5"/>
      <c r="C155" s="5"/>
      <c r="D155" s="4"/>
      <c r="E155" s="5"/>
      <c r="F155" s="5"/>
    </row>
    <row r="156" spans="1:6">
      <c r="A156" s="5"/>
      <c r="B156" s="5"/>
      <c r="C156" s="5"/>
      <c r="D156" s="4"/>
      <c r="E156" s="5"/>
      <c r="F156" s="5"/>
    </row>
    <row r="157" spans="1:6">
      <c r="A157" s="5"/>
      <c r="B157" s="5"/>
      <c r="C157" s="5"/>
      <c r="D157" s="4"/>
      <c r="E157" s="5"/>
      <c r="F157" s="5"/>
    </row>
    <row r="158" spans="1:6">
      <c r="A158" s="5"/>
      <c r="B158" s="5"/>
      <c r="C158" s="5"/>
      <c r="D158" s="4"/>
      <c r="E158" s="5"/>
      <c r="F158" s="5"/>
    </row>
    <row r="159" spans="1:6">
      <c r="A159" s="5"/>
      <c r="B159" s="5"/>
      <c r="C159" s="5"/>
      <c r="D159" s="4"/>
      <c r="E159" s="5"/>
      <c r="F159" s="5"/>
    </row>
    <row r="160" spans="1:6">
      <c r="A160" s="5"/>
      <c r="B160" s="5"/>
      <c r="C160" s="5"/>
      <c r="D160" s="4"/>
      <c r="E160" s="5"/>
      <c r="F160" s="5"/>
    </row>
    <row r="161" spans="1:6">
      <c r="A161" s="5"/>
      <c r="B161" s="5"/>
      <c r="C161" s="5"/>
      <c r="D161" s="4"/>
      <c r="E161" s="5"/>
      <c r="F161" s="5"/>
    </row>
    <row r="162" spans="1:6">
      <c r="A162" s="5"/>
      <c r="B162" s="5"/>
      <c r="C162" s="5"/>
      <c r="D162" s="4"/>
      <c r="E162" s="5"/>
      <c r="F162" s="5"/>
    </row>
    <row r="163" spans="1:6">
      <c r="A163" s="5"/>
      <c r="B163" s="5"/>
      <c r="C163" s="5"/>
      <c r="D163" s="4"/>
      <c r="E163" s="5"/>
      <c r="F163" s="5"/>
    </row>
    <row r="164" spans="1:6">
      <c r="A164" s="5"/>
      <c r="B164" s="5"/>
      <c r="C164" s="5"/>
      <c r="D164" s="4"/>
      <c r="E164" s="5"/>
      <c r="F164" s="5"/>
    </row>
    <row r="165" spans="1:6">
      <c r="A165" s="5"/>
      <c r="B165" s="5"/>
      <c r="C165" s="5"/>
      <c r="D165" s="4"/>
      <c r="E165" s="5"/>
      <c r="F165" s="5"/>
    </row>
    <row r="166" spans="1:6">
      <c r="A166" s="5"/>
      <c r="B166" s="5"/>
      <c r="C166" s="5"/>
      <c r="D166" s="4"/>
      <c r="E166" s="5"/>
      <c r="F166" s="5"/>
    </row>
    <row r="167" spans="1:6">
      <c r="A167" s="5"/>
      <c r="B167" s="5"/>
      <c r="C167" s="5"/>
      <c r="D167" s="4"/>
      <c r="E167" s="5"/>
      <c r="F167" s="5"/>
    </row>
    <row r="168" spans="1:6">
      <c r="A168" s="5"/>
      <c r="B168" s="5"/>
      <c r="C168" s="5"/>
      <c r="D168" s="4"/>
      <c r="E168" s="5"/>
      <c r="F168" s="5"/>
    </row>
    <row r="169" spans="1:6">
      <c r="A169" s="5"/>
      <c r="B169" s="5"/>
      <c r="C169" s="5"/>
      <c r="D169" s="4"/>
      <c r="E169" s="5"/>
      <c r="F169" s="5"/>
    </row>
    <row r="170" spans="1:6">
      <c r="A170" s="5"/>
      <c r="B170" s="5"/>
      <c r="C170" s="5"/>
      <c r="D170" s="4"/>
      <c r="E170" s="5"/>
      <c r="F170" s="5"/>
    </row>
    <row r="171" spans="1:6">
      <c r="A171" s="5"/>
      <c r="B171" s="5"/>
      <c r="C171" s="5"/>
      <c r="D171" s="4"/>
      <c r="E171" s="5"/>
      <c r="F171" s="5"/>
    </row>
    <row r="172" spans="1:6">
      <c r="A172" s="5"/>
      <c r="B172" s="5"/>
      <c r="C172" s="5"/>
      <c r="D172" s="4"/>
      <c r="E172" s="5"/>
      <c r="F172" s="5"/>
    </row>
    <row r="173" spans="1:6">
      <c r="A173" s="5"/>
      <c r="B173" s="5"/>
      <c r="C173" s="5"/>
      <c r="D173" s="4"/>
      <c r="E173" s="5"/>
      <c r="F173" s="5"/>
    </row>
    <row r="174" spans="1:6">
      <c r="A174" s="5"/>
      <c r="B174" s="5"/>
      <c r="C174" s="5"/>
      <c r="D174" s="4"/>
      <c r="E174" s="5"/>
      <c r="F174" s="5"/>
    </row>
    <row r="175" spans="1:6">
      <c r="A175" s="5"/>
      <c r="B175" s="5"/>
      <c r="C175" s="5"/>
      <c r="D175" s="4"/>
      <c r="E175" s="5"/>
      <c r="F175" s="5"/>
    </row>
    <row r="176" spans="1:6">
      <c r="A176" s="5"/>
      <c r="B176" s="5"/>
      <c r="C176" s="5"/>
      <c r="D176" s="4"/>
      <c r="E176" s="5"/>
      <c r="F176" s="5"/>
    </row>
    <row r="177" spans="1:6">
      <c r="A177" s="5"/>
      <c r="B177" s="5"/>
      <c r="C177" s="5"/>
      <c r="D177" s="4"/>
      <c r="E177" s="5"/>
      <c r="F177" s="5"/>
    </row>
    <row r="178" spans="1:6">
      <c r="A178" s="5"/>
      <c r="B178" s="5"/>
      <c r="C178" s="5"/>
      <c r="D178" s="4"/>
      <c r="E178" s="5"/>
      <c r="F178" s="5"/>
    </row>
    <row r="179" spans="1:6">
      <c r="A179" s="5"/>
      <c r="B179" s="5"/>
      <c r="C179" s="5"/>
      <c r="D179" s="4"/>
      <c r="E179" s="5"/>
      <c r="F179" s="5"/>
    </row>
    <row r="180" spans="1:6">
      <c r="A180" s="5"/>
      <c r="B180" s="5"/>
      <c r="C180" s="5"/>
      <c r="D180" s="4"/>
      <c r="E180" s="5"/>
      <c r="F180" s="5"/>
    </row>
    <row r="181" spans="1:6">
      <c r="A181" s="5"/>
      <c r="B181" s="5"/>
      <c r="C181" s="5"/>
      <c r="D181" s="4"/>
      <c r="E181" s="5"/>
      <c r="F181" s="5"/>
    </row>
    <row r="182" spans="1:6">
      <c r="A182" s="5"/>
      <c r="B182" s="5"/>
      <c r="C182" s="5"/>
      <c r="D182" s="4"/>
      <c r="E182" s="5"/>
      <c r="F182" s="5"/>
    </row>
    <row r="183" spans="1:6">
      <c r="A183" s="5"/>
      <c r="B183" s="5"/>
      <c r="C183" s="5"/>
      <c r="D183" s="4"/>
      <c r="E183" s="5"/>
      <c r="F183" s="5"/>
    </row>
    <row r="184" spans="1:6">
      <c r="A184" s="5"/>
      <c r="B184" s="5"/>
      <c r="C184" s="5"/>
      <c r="D184" s="4"/>
      <c r="E184" s="5"/>
      <c r="F184" s="5"/>
    </row>
    <row r="185" spans="1:6">
      <c r="A185" s="5"/>
      <c r="B185" s="5"/>
      <c r="C185" s="5"/>
      <c r="D185" s="4"/>
      <c r="E185" s="5"/>
      <c r="F185" s="5"/>
    </row>
    <row r="186" spans="1:6">
      <c r="A186" s="5"/>
      <c r="B186" s="5"/>
      <c r="C186" s="5"/>
      <c r="D186" s="4"/>
      <c r="E186" s="5"/>
      <c r="F186" s="5"/>
    </row>
    <row r="187" spans="1:6">
      <c r="A187" s="5"/>
      <c r="B187" s="5"/>
      <c r="C187" s="5"/>
      <c r="D187" s="4"/>
      <c r="E187" s="5"/>
      <c r="F187" s="5"/>
    </row>
    <row r="188" spans="1:6">
      <c r="A188" s="5"/>
      <c r="B188" s="5"/>
      <c r="C188" s="5"/>
      <c r="D188" s="4"/>
      <c r="E188" s="5"/>
      <c r="F188" s="5"/>
    </row>
    <row r="189" spans="1:6">
      <c r="A189" s="5"/>
      <c r="B189" s="5"/>
      <c r="C189" s="5"/>
      <c r="D189" s="4"/>
      <c r="E189" s="5"/>
      <c r="F189" s="5"/>
    </row>
    <row r="190" spans="1:6">
      <c r="A190" s="5"/>
      <c r="B190" s="5"/>
      <c r="C190" s="5"/>
      <c r="D190" s="4"/>
      <c r="E190" s="5"/>
      <c r="F190" s="5"/>
    </row>
    <row r="191" spans="1:6">
      <c r="A191" s="5"/>
      <c r="B191" s="5"/>
      <c r="C191" s="5"/>
      <c r="D191" s="4"/>
      <c r="E191" s="5"/>
      <c r="F191" s="5"/>
    </row>
    <row r="192" spans="1:6">
      <c r="A192" s="5"/>
      <c r="B192" s="5"/>
      <c r="C192" s="5"/>
      <c r="D192" s="4"/>
      <c r="E192" s="5"/>
      <c r="F192" s="5"/>
    </row>
    <row r="193" spans="1:6">
      <c r="A193" s="5"/>
      <c r="B193" s="5"/>
      <c r="C193" s="5"/>
      <c r="D193" s="4"/>
      <c r="E193" s="5"/>
      <c r="F193" s="5"/>
    </row>
    <row r="194" spans="1:6">
      <c r="A194" s="5"/>
      <c r="B194" s="5"/>
      <c r="C194" s="5"/>
      <c r="D194" s="4"/>
      <c r="E194" s="5"/>
      <c r="F194" s="5"/>
    </row>
    <row r="195" spans="1:6">
      <c r="A195" s="5"/>
      <c r="B195" s="5"/>
      <c r="C195" s="5"/>
      <c r="D195" s="4"/>
      <c r="E195" s="5"/>
      <c r="F195" s="5"/>
    </row>
    <row r="196" spans="1:6">
      <c r="A196" s="5"/>
      <c r="B196" s="5"/>
      <c r="C196" s="5"/>
      <c r="D196" s="4"/>
      <c r="E196" s="5"/>
      <c r="F196" s="5"/>
    </row>
    <row r="197" spans="1:6">
      <c r="A197" s="5"/>
      <c r="B197" s="5"/>
      <c r="C197" s="5"/>
      <c r="D197" s="4"/>
      <c r="E197" s="5"/>
      <c r="F197" s="5"/>
    </row>
    <row r="198" spans="1:6">
      <c r="A198" s="5"/>
      <c r="B198" s="5"/>
      <c r="C198" s="5"/>
      <c r="D198" s="4"/>
      <c r="E198" s="5"/>
      <c r="F198" s="5"/>
    </row>
    <row r="199" spans="1:6">
      <c r="A199" s="5"/>
      <c r="B199" s="5"/>
      <c r="C199" s="5"/>
      <c r="D199" s="4"/>
      <c r="E199" s="5"/>
      <c r="F199" s="5"/>
    </row>
    <row r="200" spans="1:6">
      <c r="A200" s="5"/>
      <c r="B200" s="5"/>
      <c r="C200" s="5"/>
      <c r="D200" s="4"/>
      <c r="E200" s="5"/>
      <c r="F200" s="5"/>
    </row>
    <row r="201" spans="1:6">
      <c r="A201" s="5"/>
      <c r="B201" s="5"/>
      <c r="C201" s="5"/>
      <c r="D201" s="4"/>
      <c r="E201" s="5"/>
      <c r="F201" s="5"/>
    </row>
    <row r="202" spans="1:6">
      <c r="A202" s="5"/>
      <c r="B202" s="5"/>
      <c r="C202" s="5"/>
      <c r="D202" s="4"/>
      <c r="E202" s="5"/>
      <c r="F202" s="5"/>
    </row>
    <row r="203" spans="1:6">
      <c r="A203" s="5"/>
      <c r="B203" s="5"/>
      <c r="C203" s="5"/>
      <c r="D203" s="4"/>
      <c r="E203" s="5"/>
      <c r="F203" s="5"/>
    </row>
    <row r="204" spans="1:6">
      <c r="A204" s="5"/>
      <c r="B204" s="5"/>
      <c r="C204" s="5"/>
      <c r="D204" s="4"/>
      <c r="E204" s="5"/>
      <c r="F204" s="5"/>
    </row>
    <row r="205" spans="1:6">
      <c r="A205" s="5"/>
      <c r="B205" s="5"/>
      <c r="C205" s="5"/>
      <c r="D205" s="4"/>
      <c r="E205" s="5"/>
      <c r="F205" s="5"/>
    </row>
    <row r="206" spans="1:6">
      <c r="A206" s="5"/>
      <c r="B206" s="5"/>
      <c r="C206" s="5"/>
      <c r="D206" s="4"/>
      <c r="E206" s="5"/>
      <c r="F206" s="5"/>
    </row>
    <row r="207" spans="1:6">
      <c r="A207" s="5"/>
      <c r="B207" s="5"/>
      <c r="C207" s="5"/>
      <c r="D207" s="4"/>
      <c r="E207" s="5"/>
      <c r="F207" s="5"/>
    </row>
    <row r="208" spans="1:6">
      <c r="A208" s="5"/>
      <c r="B208" s="5"/>
      <c r="C208" s="5"/>
      <c r="D208" s="4"/>
      <c r="E208" s="5"/>
      <c r="F208" s="5"/>
    </row>
    <row r="209" spans="1:6">
      <c r="A209" s="5"/>
      <c r="B209" s="5"/>
      <c r="C209" s="5"/>
      <c r="D209" s="4"/>
      <c r="E209" s="5"/>
      <c r="F209" s="5"/>
    </row>
    <row r="210" spans="1:6">
      <c r="A210" s="5"/>
      <c r="B210" s="5"/>
      <c r="C210" s="5"/>
      <c r="D210" s="4"/>
      <c r="E210" s="5"/>
      <c r="F210" s="5"/>
    </row>
    <row r="211" spans="1:6">
      <c r="A211" s="5"/>
      <c r="B211" s="5"/>
      <c r="C211" s="5"/>
      <c r="D211" s="4"/>
      <c r="E211" s="5"/>
      <c r="F211" s="5"/>
    </row>
    <row r="212" spans="1:6">
      <c r="A212" s="5"/>
      <c r="B212" s="5"/>
      <c r="C212" s="5"/>
      <c r="D212" s="4"/>
      <c r="E212" s="5"/>
      <c r="F212" s="5"/>
    </row>
    <row r="213" spans="1:6">
      <c r="A213" s="5"/>
      <c r="B213" s="5"/>
      <c r="C213" s="5"/>
      <c r="D213" s="4"/>
      <c r="E213" s="5"/>
      <c r="F213" s="5"/>
    </row>
    <row r="214" spans="1:6">
      <c r="A214" s="5"/>
      <c r="B214" s="5"/>
      <c r="C214" s="5"/>
      <c r="D214" s="4"/>
      <c r="E214" s="5"/>
      <c r="F214" s="5"/>
    </row>
    <row r="215" spans="1:6">
      <c r="A215" s="5"/>
      <c r="B215" s="5"/>
      <c r="C215" s="5"/>
      <c r="D215" s="4"/>
      <c r="E215" s="5"/>
      <c r="F215" s="5"/>
    </row>
    <row r="216" spans="1:6">
      <c r="A216" s="5"/>
      <c r="B216" s="5"/>
      <c r="C216" s="5"/>
      <c r="D216" s="4"/>
      <c r="E216" s="5"/>
      <c r="F216" s="5"/>
    </row>
    <row r="217" spans="1:6">
      <c r="A217" s="5"/>
      <c r="B217" s="5"/>
      <c r="C217" s="5"/>
      <c r="D217" s="4"/>
      <c r="E217" s="5"/>
      <c r="F217" s="5"/>
    </row>
    <row r="218" spans="1:6">
      <c r="A218" s="5"/>
      <c r="B218" s="5"/>
      <c r="C218" s="5"/>
      <c r="D218" s="4"/>
      <c r="E218" s="5"/>
      <c r="F218" s="5"/>
    </row>
    <row r="219" spans="1:6">
      <c r="A219" s="5"/>
      <c r="B219" s="5"/>
      <c r="C219" s="5"/>
      <c r="D219" s="4"/>
      <c r="E219" s="5"/>
      <c r="F219" s="5"/>
    </row>
    <row r="220" spans="1:6">
      <c r="A220" s="5"/>
      <c r="B220" s="5"/>
      <c r="C220" s="5"/>
      <c r="D220" s="4"/>
      <c r="E220" s="5"/>
      <c r="F220" s="5"/>
    </row>
    <row r="221" spans="1:6">
      <c r="A221" s="5"/>
      <c r="B221" s="5"/>
      <c r="C221" s="5"/>
      <c r="D221" s="4"/>
      <c r="E221" s="5"/>
      <c r="F221" s="5"/>
    </row>
    <row r="222" spans="1:6">
      <c r="A222" s="5"/>
      <c r="B222" s="5"/>
      <c r="C222" s="5"/>
      <c r="D222" s="4"/>
      <c r="E222" s="5"/>
      <c r="F222" s="5"/>
    </row>
    <row r="223" spans="1:6">
      <c r="A223" s="5"/>
      <c r="B223" s="5"/>
      <c r="C223" s="5"/>
      <c r="D223" s="4"/>
      <c r="E223" s="5"/>
      <c r="F223" s="5"/>
    </row>
    <row r="224" spans="1:6">
      <c r="A224" s="5"/>
      <c r="B224" s="5"/>
      <c r="C224" s="5"/>
      <c r="D224" s="4"/>
      <c r="E224" s="5"/>
      <c r="F224" s="5"/>
    </row>
    <row r="225" spans="1:6">
      <c r="A225" s="5"/>
      <c r="B225" s="5"/>
      <c r="C225" s="5"/>
      <c r="D225" s="4"/>
      <c r="E225" s="5"/>
      <c r="F225" s="5"/>
    </row>
    <row r="226" spans="1:6">
      <c r="A226" s="5"/>
      <c r="B226" s="5"/>
      <c r="C226" s="5"/>
      <c r="D226" s="4"/>
      <c r="E226" s="5"/>
      <c r="F226" s="5"/>
    </row>
    <row r="227" spans="1:6">
      <c r="A227" s="5"/>
      <c r="B227" s="5"/>
      <c r="C227" s="5"/>
      <c r="D227" s="4"/>
      <c r="E227" s="5"/>
      <c r="F227" s="5"/>
    </row>
    <row r="228" spans="1:6">
      <c r="A228" s="5"/>
      <c r="B228" s="5"/>
      <c r="C228" s="5"/>
      <c r="D228" s="4"/>
      <c r="E228" s="5"/>
      <c r="F228" s="5"/>
    </row>
    <row r="229" spans="1:6">
      <c r="A229" s="5"/>
      <c r="B229" s="5"/>
      <c r="C229" s="5"/>
      <c r="D229" s="4"/>
      <c r="E229" s="5"/>
      <c r="F229" s="5"/>
    </row>
    <row r="230" spans="1:6">
      <c r="A230" s="5"/>
      <c r="B230" s="5"/>
      <c r="C230" s="5"/>
      <c r="D230" s="4"/>
      <c r="E230" s="5"/>
      <c r="F230" s="5"/>
    </row>
    <row r="231" spans="1:6">
      <c r="A231" s="5"/>
      <c r="B231" s="5"/>
      <c r="C231" s="5"/>
      <c r="D231" s="4"/>
      <c r="E231" s="5"/>
      <c r="F231" s="5"/>
    </row>
    <row r="232" spans="1:6">
      <c r="A232" s="5"/>
      <c r="B232" s="5"/>
      <c r="C232" s="5"/>
      <c r="D232" s="4"/>
      <c r="E232" s="5"/>
      <c r="F232" s="5"/>
    </row>
    <row r="233" spans="1:6">
      <c r="A233" s="5"/>
      <c r="B233" s="5"/>
      <c r="C233" s="5"/>
      <c r="D233" s="4"/>
      <c r="E233" s="5"/>
      <c r="F233" s="5"/>
    </row>
    <row r="234" spans="1:6">
      <c r="A234" s="5"/>
      <c r="B234" s="5"/>
      <c r="C234" s="5"/>
      <c r="D234" s="4"/>
      <c r="E234" s="5"/>
      <c r="F234" s="5"/>
    </row>
    <row r="235" spans="1:6">
      <c r="A235" s="5"/>
      <c r="B235" s="5"/>
      <c r="C235" s="5"/>
      <c r="D235" s="4"/>
      <c r="E235" s="5"/>
      <c r="F235" s="5"/>
    </row>
    <row r="236" spans="1:6">
      <c r="A236" s="5"/>
      <c r="B236" s="5"/>
      <c r="C236" s="5"/>
      <c r="D236" s="4"/>
      <c r="E236" s="5"/>
      <c r="F236" s="5"/>
    </row>
    <row r="237" spans="1:6">
      <c r="A237" s="5"/>
      <c r="B237" s="5"/>
      <c r="C237" s="5"/>
      <c r="D237" s="4"/>
      <c r="E237" s="5"/>
      <c r="F237" s="5"/>
    </row>
    <row r="238" spans="1:6">
      <c r="A238" s="5"/>
      <c r="B238" s="5"/>
      <c r="C238" s="5"/>
      <c r="D238" s="4"/>
      <c r="E238" s="5"/>
      <c r="F238" s="5"/>
    </row>
    <row r="239" spans="1:6">
      <c r="A239" s="5"/>
      <c r="B239" s="5"/>
      <c r="C239" s="5"/>
      <c r="D239" s="4"/>
      <c r="E239" s="5"/>
      <c r="F239" s="5"/>
    </row>
    <row r="240" spans="1:6">
      <c r="A240" s="5"/>
      <c r="B240" s="5"/>
      <c r="C240" s="5"/>
      <c r="D240" s="4"/>
      <c r="E240" s="5"/>
      <c r="F240" s="5"/>
    </row>
    <row r="241" spans="1:6">
      <c r="A241" s="5"/>
      <c r="B241" s="5"/>
      <c r="C241" s="5"/>
      <c r="D241" s="4"/>
      <c r="E241" s="5"/>
      <c r="F241" s="5"/>
    </row>
    <row r="242" spans="1:6">
      <c r="A242" s="5"/>
      <c r="B242" s="5"/>
      <c r="C242" s="5"/>
      <c r="D242" s="4"/>
      <c r="E242" s="5"/>
      <c r="F242" s="5"/>
    </row>
    <row r="243" spans="1:6">
      <c r="A243" s="5"/>
      <c r="B243" s="5"/>
      <c r="C243" s="5"/>
      <c r="D243" s="4"/>
      <c r="E243" s="5"/>
      <c r="F243" s="5"/>
    </row>
    <row r="244" spans="1:6">
      <c r="A244" s="5"/>
      <c r="B244" s="5"/>
      <c r="C244" s="5"/>
      <c r="D244" s="4"/>
      <c r="E244" s="5"/>
      <c r="F244" s="5"/>
    </row>
    <row r="245" spans="1:6">
      <c r="A245" s="5"/>
      <c r="B245" s="5"/>
      <c r="C245" s="5"/>
      <c r="D245" s="4"/>
      <c r="E245" s="5"/>
      <c r="F245" s="5"/>
    </row>
    <row r="246" spans="1:6">
      <c r="A246" s="5"/>
      <c r="B246" s="5"/>
      <c r="C246" s="5"/>
      <c r="D246" s="4"/>
      <c r="E246" s="5"/>
      <c r="F246" s="5"/>
    </row>
    <row r="247" spans="1:6">
      <c r="A247" s="5"/>
      <c r="B247" s="5"/>
      <c r="C247" s="5"/>
      <c r="D247" s="4"/>
      <c r="E247" s="5"/>
      <c r="F247" s="5"/>
    </row>
    <row r="248" spans="1:6">
      <c r="A248" s="5"/>
      <c r="B248" s="5"/>
      <c r="C248" s="5"/>
      <c r="D248" s="4"/>
      <c r="E248" s="5"/>
      <c r="F248" s="5"/>
    </row>
    <row r="249" spans="1:6">
      <c r="A249" s="5"/>
      <c r="B249" s="5"/>
      <c r="C249" s="5"/>
      <c r="D249" s="4"/>
      <c r="E249" s="5"/>
      <c r="F249" s="5"/>
    </row>
    <row r="250" spans="1:6">
      <c r="A250" s="5"/>
      <c r="B250" s="5"/>
      <c r="C250" s="5"/>
      <c r="D250" s="4"/>
      <c r="E250" s="5"/>
      <c r="F250" s="5"/>
    </row>
    <row r="251" spans="1:6">
      <c r="A251" s="5"/>
      <c r="B251" s="5"/>
      <c r="C251" s="5"/>
      <c r="D251" s="4"/>
      <c r="E251" s="5"/>
      <c r="F251" s="5"/>
    </row>
    <row r="252" spans="1:6">
      <c r="A252" s="5"/>
      <c r="B252" s="5"/>
      <c r="C252" s="5"/>
      <c r="D252" s="4"/>
      <c r="E252" s="5"/>
      <c r="F252" s="5"/>
    </row>
    <row r="253" spans="1:6">
      <c r="A253" s="5"/>
      <c r="B253" s="5"/>
      <c r="C253" s="5"/>
      <c r="D253" s="4"/>
      <c r="E253" s="5"/>
      <c r="F253" s="5"/>
    </row>
    <row r="254" spans="1:6">
      <c r="A254" s="5"/>
      <c r="B254" s="5"/>
      <c r="C254" s="5"/>
      <c r="D254" s="4"/>
      <c r="E254" s="5"/>
      <c r="F254" s="5"/>
    </row>
    <row r="255" spans="1:6">
      <c r="A255" s="5"/>
      <c r="B255" s="5"/>
      <c r="C255" s="5"/>
      <c r="D255" s="4"/>
      <c r="E255" s="5"/>
      <c r="F255" s="5"/>
    </row>
    <row r="256" spans="1:6">
      <c r="A256" s="5"/>
      <c r="B256" s="5"/>
      <c r="C256" s="5"/>
      <c r="D256" s="4"/>
      <c r="E256" s="5"/>
      <c r="F256" s="5"/>
    </row>
    <row r="257" spans="1:6">
      <c r="A257" s="5"/>
      <c r="B257" s="5"/>
      <c r="C257" s="5"/>
      <c r="D257" s="4"/>
      <c r="E257" s="5"/>
      <c r="F257" s="5"/>
    </row>
    <row r="258" spans="1:6">
      <c r="A258" s="5"/>
      <c r="B258" s="5"/>
      <c r="C258" s="5"/>
      <c r="D258" s="4"/>
      <c r="E258" s="5"/>
      <c r="F258" s="5"/>
    </row>
    <row r="259" spans="1:6">
      <c r="A259" s="5"/>
      <c r="B259" s="5"/>
      <c r="C259" s="5"/>
      <c r="D259" s="4"/>
      <c r="E259" s="5"/>
      <c r="F259" s="5"/>
    </row>
    <row r="260" spans="1:6">
      <c r="A260" s="5"/>
      <c r="B260" s="5"/>
      <c r="C260" s="5"/>
      <c r="D260" s="4"/>
      <c r="E260" s="5"/>
      <c r="F260" s="5"/>
    </row>
    <row r="261" spans="1:6">
      <c r="A261" s="5"/>
      <c r="B261" s="5"/>
      <c r="C261" s="5"/>
      <c r="D261" s="4"/>
      <c r="E261" s="5"/>
      <c r="F261" s="5"/>
    </row>
    <row r="262" spans="1:6">
      <c r="A262" s="5"/>
      <c r="B262" s="5"/>
      <c r="C262" s="5"/>
      <c r="D262" s="4"/>
      <c r="E262" s="5"/>
      <c r="F262" s="5"/>
    </row>
    <row r="263" spans="1:6">
      <c r="A263" s="5"/>
      <c r="B263" s="5"/>
      <c r="C263" s="5"/>
      <c r="D263" s="4"/>
      <c r="E263" s="5"/>
      <c r="F263" s="5"/>
    </row>
    <row r="264" spans="1:6">
      <c r="A264" s="5"/>
      <c r="B264" s="5"/>
      <c r="C264" s="5"/>
      <c r="D264" s="4"/>
      <c r="E264" s="5"/>
      <c r="F264" s="5"/>
    </row>
    <row r="265" spans="1:6">
      <c r="A265" s="5"/>
      <c r="B265" s="5"/>
      <c r="C265" s="5"/>
      <c r="D265" s="4"/>
      <c r="E265" s="5"/>
      <c r="F265" s="5"/>
    </row>
    <row r="266" spans="1:6">
      <c r="A266" s="5"/>
      <c r="B266" s="5"/>
      <c r="C266" s="5"/>
      <c r="D266" s="4"/>
      <c r="E266" s="5"/>
      <c r="F266" s="5"/>
    </row>
    <row r="267" spans="1:6">
      <c r="A267" s="5"/>
      <c r="B267" s="5"/>
      <c r="C267" s="5"/>
      <c r="D267" s="4"/>
      <c r="E267" s="5"/>
      <c r="F267" s="5"/>
    </row>
    <row r="268" spans="1:6">
      <c r="A268" s="5"/>
      <c r="B268" s="5"/>
      <c r="C268" s="5"/>
      <c r="D268" s="4"/>
      <c r="E268" s="5"/>
      <c r="F268" s="5"/>
    </row>
    <row r="269" spans="1:6">
      <c r="A269" s="5"/>
      <c r="B269" s="5"/>
      <c r="C269" s="5"/>
      <c r="D269" s="4"/>
      <c r="E269" s="5"/>
      <c r="F269" s="5"/>
    </row>
    <row r="270" spans="1:6">
      <c r="A270" s="5"/>
      <c r="B270" s="5"/>
      <c r="C270" s="5"/>
      <c r="D270" s="4"/>
      <c r="E270" s="5"/>
      <c r="F270" s="5"/>
    </row>
    <row r="271" spans="1:6">
      <c r="A271" s="5"/>
      <c r="B271" s="5"/>
      <c r="C271" s="5"/>
      <c r="D271" s="4"/>
      <c r="E271" s="5"/>
      <c r="F271" s="5"/>
    </row>
    <row r="272" spans="1:6">
      <c r="A272" s="5"/>
      <c r="B272" s="5"/>
      <c r="C272" s="5"/>
      <c r="D272" s="4"/>
      <c r="E272" s="5"/>
      <c r="F272" s="5"/>
    </row>
    <row r="273" spans="1:6">
      <c r="A273" s="5"/>
      <c r="B273" s="5"/>
      <c r="C273" s="5"/>
      <c r="D273" s="4"/>
      <c r="E273" s="5"/>
      <c r="F273" s="5"/>
    </row>
    <row r="274" spans="1:6">
      <c r="A274" s="5"/>
      <c r="B274" s="5"/>
      <c r="C274" s="5"/>
      <c r="D274" s="4"/>
      <c r="E274" s="5"/>
      <c r="F274" s="5"/>
    </row>
    <row r="275" spans="1:6">
      <c r="A275" s="5"/>
      <c r="B275" s="5"/>
      <c r="C275" s="5"/>
      <c r="D275" s="4"/>
      <c r="E275" s="5"/>
      <c r="F275" s="5"/>
    </row>
    <row r="276" spans="1:6">
      <c r="A276" s="5"/>
      <c r="B276" s="5"/>
      <c r="C276" s="5"/>
      <c r="D276" s="4"/>
      <c r="E276" s="5"/>
      <c r="F276" s="5"/>
    </row>
    <row r="277" spans="1:6">
      <c r="A277" s="5"/>
      <c r="B277" s="5"/>
      <c r="C277" s="5"/>
      <c r="D277" s="4"/>
      <c r="E277" s="5"/>
      <c r="F277" s="5"/>
    </row>
    <row r="278" spans="1:6">
      <c r="A278" s="5"/>
      <c r="B278" s="5"/>
      <c r="C278" s="5"/>
      <c r="D278" s="4"/>
      <c r="E278" s="5"/>
      <c r="F278" s="5"/>
    </row>
    <row r="279" spans="1:6">
      <c r="A279" s="5"/>
      <c r="B279" s="5"/>
      <c r="C279" s="5"/>
      <c r="D279" s="4"/>
      <c r="E279" s="5"/>
      <c r="F279" s="5"/>
    </row>
    <row r="280" spans="1:6">
      <c r="A280" s="5"/>
      <c r="B280" s="5"/>
      <c r="C280" s="5"/>
      <c r="D280" s="4"/>
      <c r="E280" s="5"/>
      <c r="F280" s="5"/>
    </row>
    <row r="281" spans="1:6">
      <c r="A281" s="5"/>
      <c r="B281" s="5"/>
      <c r="C281" s="5"/>
      <c r="D281" s="4"/>
      <c r="E281" s="5"/>
      <c r="F281" s="5"/>
    </row>
    <row r="282" spans="1:6">
      <c r="A282" s="5"/>
      <c r="B282" s="5"/>
      <c r="C282" s="5"/>
      <c r="D282" s="4"/>
      <c r="E282" s="5"/>
      <c r="F282" s="5"/>
    </row>
    <row r="283" spans="1:6">
      <c r="A283" s="5"/>
      <c r="B283" s="5"/>
      <c r="C283" s="5"/>
      <c r="D283" s="4"/>
      <c r="E283" s="5"/>
      <c r="F283" s="5"/>
    </row>
    <row r="284" spans="1:6">
      <c r="A284" s="5"/>
      <c r="B284" s="5"/>
      <c r="C284" s="5"/>
      <c r="D284" s="4"/>
      <c r="E284" s="5"/>
      <c r="F284" s="5"/>
    </row>
    <row r="285" spans="1:6">
      <c r="A285" s="5"/>
      <c r="B285" s="5"/>
      <c r="C285" s="5"/>
      <c r="D285" s="4"/>
      <c r="E285" s="5"/>
      <c r="F285" s="5"/>
    </row>
    <row r="286" spans="1:6">
      <c r="A286" s="5"/>
      <c r="B286" s="5"/>
      <c r="C286" s="5"/>
      <c r="D286" s="4"/>
      <c r="E286" s="5"/>
      <c r="F286" s="5"/>
    </row>
    <row r="287" spans="1:6">
      <c r="A287" s="5"/>
      <c r="B287" s="5"/>
      <c r="C287" s="5"/>
      <c r="D287" s="4"/>
      <c r="E287" s="5"/>
      <c r="F287" s="5"/>
    </row>
    <row r="288" spans="1:6">
      <c r="A288" s="5"/>
      <c r="B288" s="5"/>
      <c r="C288" s="5"/>
      <c r="D288" s="4"/>
      <c r="E288" s="5"/>
      <c r="F288" s="5"/>
    </row>
    <row r="289" spans="1:6">
      <c r="A289" s="5"/>
      <c r="B289" s="5"/>
      <c r="C289" s="5"/>
      <c r="D289" s="4"/>
      <c r="E289" s="5"/>
      <c r="F289" s="5"/>
    </row>
    <row r="290" spans="1:6">
      <c r="A290" s="5"/>
      <c r="B290" s="5"/>
      <c r="C290" s="5"/>
      <c r="D290" s="4"/>
      <c r="E290" s="5"/>
      <c r="F290" s="5"/>
    </row>
    <row r="291" spans="1:6">
      <c r="A291" s="5"/>
      <c r="B291" s="5"/>
      <c r="C291" s="5"/>
      <c r="D291" s="4"/>
      <c r="E291" s="5"/>
      <c r="F291" s="5"/>
    </row>
    <row r="292" spans="1:6">
      <c r="A292" s="5"/>
      <c r="B292" s="5"/>
      <c r="C292" s="5"/>
      <c r="D292" s="4"/>
      <c r="E292" s="5"/>
      <c r="F292" s="5"/>
    </row>
    <row r="293" spans="1:6">
      <c r="A293" s="5"/>
      <c r="B293" s="5"/>
      <c r="C293" s="5"/>
      <c r="D293" s="4"/>
      <c r="E293" s="5"/>
      <c r="F293" s="5"/>
    </row>
    <row r="294" spans="1:6">
      <c r="A294" s="5"/>
      <c r="B294" s="5"/>
      <c r="C294" s="5"/>
      <c r="D294" s="4"/>
      <c r="E294" s="5"/>
      <c r="F294" s="5"/>
    </row>
    <row r="295" spans="1:6">
      <c r="A295" s="5"/>
      <c r="B295" s="5"/>
      <c r="C295" s="5"/>
      <c r="D295" s="4"/>
      <c r="E295" s="5"/>
      <c r="F295" s="5"/>
    </row>
    <row r="296" spans="1:6">
      <c r="A296" s="5"/>
      <c r="B296" s="5"/>
      <c r="C296" s="5"/>
      <c r="D296" s="4"/>
      <c r="E296" s="5"/>
      <c r="F296" s="5"/>
    </row>
    <row r="297" spans="1:6">
      <c r="A297" s="5"/>
      <c r="B297" s="5"/>
      <c r="C297" s="5"/>
      <c r="D297" s="4"/>
      <c r="E297" s="5"/>
      <c r="F297" s="5"/>
    </row>
    <row r="298" spans="1:6">
      <c r="A298" s="5"/>
      <c r="B298" s="5"/>
      <c r="C298" s="5"/>
      <c r="D298" s="4"/>
      <c r="E298" s="5"/>
      <c r="F298" s="5"/>
    </row>
    <row r="299" spans="1:6">
      <c r="A299" s="5"/>
      <c r="B299" s="5"/>
      <c r="C299" s="5"/>
      <c r="D299" s="4"/>
      <c r="E299" s="5"/>
      <c r="F299" s="5"/>
    </row>
    <row r="300" spans="1:6">
      <c r="A300" s="5"/>
      <c r="B300" s="5"/>
      <c r="C300" s="5"/>
      <c r="D300" s="4"/>
      <c r="E300" s="5"/>
      <c r="F300" s="5"/>
    </row>
    <row r="301" spans="1:6">
      <c r="A301" s="5"/>
      <c r="B301" s="5"/>
      <c r="C301" s="5"/>
      <c r="D301" s="4"/>
      <c r="E301" s="5"/>
      <c r="F301" s="5"/>
    </row>
    <row r="302" spans="1:6">
      <c r="A302" s="5"/>
      <c r="B302" s="5"/>
      <c r="C302" s="5"/>
      <c r="D302" s="4"/>
      <c r="E302" s="5"/>
      <c r="F302" s="5"/>
    </row>
    <row r="303" spans="1:6">
      <c r="A303" s="5"/>
      <c r="B303" s="5"/>
      <c r="C303" s="5"/>
      <c r="D303" s="4"/>
      <c r="E303" s="5"/>
      <c r="F303" s="5"/>
    </row>
    <row r="304" spans="1:6">
      <c r="A304" s="5"/>
      <c r="B304" s="5"/>
      <c r="C304" s="5"/>
      <c r="D304" s="4"/>
      <c r="E304" s="5"/>
      <c r="F304" s="5"/>
    </row>
    <row r="305" spans="1:6">
      <c r="A305" s="5"/>
      <c r="B305" s="5"/>
      <c r="C305" s="5"/>
      <c r="D305" s="4"/>
      <c r="E305" s="5"/>
      <c r="F305" s="5"/>
    </row>
    <row r="306" spans="1:6">
      <c r="A306" s="5"/>
      <c r="B306" s="5"/>
      <c r="C306" s="5"/>
      <c r="D306" s="4"/>
      <c r="E306" s="5"/>
      <c r="F306" s="5"/>
    </row>
    <row r="307" spans="1:6">
      <c r="A307" s="5"/>
      <c r="B307" s="5"/>
      <c r="C307" s="5"/>
      <c r="D307" s="4"/>
      <c r="E307" s="5"/>
      <c r="F307" s="5"/>
    </row>
    <row r="308" spans="1:6">
      <c r="A308" s="5"/>
      <c r="B308" s="5"/>
      <c r="C308" s="5"/>
      <c r="D308" s="4"/>
      <c r="E308" s="5"/>
      <c r="F308" s="5"/>
    </row>
    <row r="309" spans="1:6">
      <c r="A309" s="5"/>
      <c r="B309" s="5"/>
      <c r="C309" s="5"/>
      <c r="D309" s="4"/>
      <c r="E309" s="5"/>
      <c r="F309" s="5"/>
    </row>
    <row r="310" spans="1:6">
      <c r="A310" s="5"/>
      <c r="B310" s="5"/>
      <c r="C310" s="5"/>
      <c r="D310" s="4"/>
      <c r="E310" s="5"/>
      <c r="F310" s="5"/>
    </row>
    <row r="311" spans="1:6">
      <c r="A311" s="5"/>
      <c r="B311" s="5"/>
      <c r="C311" s="5"/>
      <c r="D311" s="4"/>
      <c r="E311" s="5"/>
      <c r="F311" s="5"/>
    </row>
    <row r="312" spans="1:6">
      <c r="A312" s="5"/>
      <c r="B312" s="5"/>
      <c r="C312" s="5"/>
      <c r="D312" s="4"/>
      <c r="E312" s="5"/>
      <c r="F312" s="5"/>
    </row>
    <row r="313" spans="1:6">
      <c r="A313" s="5"/>
      <c r="B313" s="5"/>
      <c r="C313" s="5"/>
      <c r="D313" s="4"/>
      <c r="E313" s="5"/>
      <c r="F313" s="5"/>
    </row>
    <row r="314" spans="1:6">
      <c r="A314" s="5"/>
      <c r="B314" s="5"/>
      <c r="C314" s="5"/>
      <c r="D314" s="4"/>
      <c r="E314" s="5"/>
      <c r="F314" s="5"/>
    </row>
    <row r="315" spans="1:6">
      <c r="A315" s="5"/>
      <c r="B315" s="5"/>
      <c r="C315" s="5"/>
      <c r="D315" s="4"/>
      <c r="E315" s="5"/>
      <c r="F315" s="5"/>
    </row>
    <row r="316" spans="1:6">
      <c r="A316" s="5"/>
      <c r="B316" s="5"/>
      <c r="C316" s="5"/>
      <c r="D316" s="4"/>
      <c r="E316" s="5"/>
      <c r="F316" s="5"/>
    </row>
    <row r="317" spans="1:6">
      <c r="A317" s="5"/>
      <c r="B317" s="5"/>
      <c r="C317" s="5"/>
      <c r="D317" s="4"/>
      <c r="E317" s="5"/>
      <c r="F317" s="5"/>
    </row>
    <row r="318" spans="1:6">
      <c r="A318" s="5"/>
      <c r="B318" s="5"/>
      <c r="C318" s="5"/>
      <c r="D318" s="4"/>
      <c r="E318" s="5"/>
      <c r="F318" s="5"/>
    </row>
    <row r="319" spans="1:6">
      <c r="A319" s="5"/>
      <c r="B319" s="5"/>
      <c r="C319" s="5"/>
      <c r="D319" s="4"/>
      <c r="E319" s="5"/>
      <c r="F319" s="5"/>
    </row>
    <row r="320" spans="1:6">
      <c r="A320" s="5"/>
      <c r="B320" s="5"/>
      <c r="C320" s="5"/>
      <c r="D320" s="4"/>
      <c r="E320" s="5"/>
      <c r="F320" s="5"/>
    </row>
    <row r="321" spans="1:6">
      <c r="A321" s="5"/>
      <c r="B321" s="5"/>
      <c r="C321" s="5"/>
      <c r="D321" s="4"/>
      <c r="E321" s="5"/>
      <c r="F321" s="5"/>
    </row>
    <row r="322" spans="1:6">
      <c r="A322" s="5"/>
      <c r="B322" s="5"/>
      <c r="C322" s="5"/>
      <c r="D322" s="4"/>
      <c r="E322" s="5"/>
      <c r="F322" s="5"/>
    </row>
    <row r="323" spans="1:6">
      <c r="A323" s="5"/>
      <c r="B323" s="5"/>
      <c r="C323" s="5"/>
      <c r="D323" s="4"/>
      <c r="E323" s="5"/>
      <c r="F323" s="5"/>
    </row>
    <row r="324" spans="1:6">
      <c r="A324" s="5"/>
      <c r="B324" s="5"/>
      <c r="C324" s="5"/>
      <c r="D324" s="4"/>
      <c r="E324" s="5"/>
      <c r="F324" s="5"/>
    </row>
    <row r="325" spans="1:6">
      <c r="A325" s="5"/>
      <c r="B325" s="5"/>
      <c r="C325" s="5"/>
      <c r="D325" s="4"/>
      <c r="E325" s="5"/>
      <c r="F325" s="5"/>
    </row>
    <row r="326" spans="1:6">
      <c r="A326" s="5"/>
      <c r="B326" s="5"/>
      <c r="C326" s="5"/>
      <c r="D326" s="4"/>
      <c r="E326" s="5"/>
      <c r="F326" s="5"/>
    </row>
    <row r="327" spans="1:6">
      <c r="A327" s="5"/>
      <c r="B327" s="5"/>
      <c r="C327" s="5"/>
      <c r="D327" s="4"/>
      <c r="E327" s="5"/>
      <c r="F327" s="5"/>
    </row>
    <row r="328" spans="1:6">
      <c r="A328" s="5"/>
      <c r="B328" s="5"/>
      <c r="C328" s="5"/>
      <c r="D328" s="4"/>
      <c r="E328" s="5"/>
      <c r="F328" s="5"/>
    </row>
    <row r="329" spans="1:6">
      <c r="A329" s="5"/>
      <c r="B329" s="5"/>
      <c r="C329" s="5"/>
      <c r="D329" s="4"/>
      <c r="E329" s="5"/>
      <c r="F329" s="5"/>
    </row>
    <row r="330" spans="1:6">
      <c r="A330" s="5"/>
      <c r="B330" s="5"/>
      <c r="C330" s="5"/>
      <c r="D330" s="4"/>
      <c r="E330" s="5"/>
      <c r="F330" s="5"/>
    </row>
    <row r="331" spans="1:6">
      <c r="A331" s="5"/>
      <c r="B331" s="5"/>
      <c r="C331" s="5"/>
      <c r="D331" s="4"/>
      <c r="E331" s="5"/>
      <c r="F331" s="5"/>
    </row>
    <row r="332" spans="1:6">
      <c r="A332" s="5"/>
      <c r="B332" s="5"/>
      <c r="C332" s="5"/>
      <c r="D332" s="4"/>
      <c r="E332" s="5"/>
      <c r="F332" s="5"/>
    </row>
    <row r="333" spans="1:6">
      <c r="A333" s="5"/>
      <c r="B333" s="5"/>
      <c r="C333" s="5"/>
      <c r="D333" s="4"/>
      <c r="E333" s="5"/>
      <c r="F333" s="5"/>
    </row>
    <row r="334" spans="1:6">
      <c r="A334" s="5"/>
      <c r="B334" s="5"/>
      <c r="C334" s="5"/>
      <c r="D334" s="4"/>
      <c r="E334" s="5"/>
      <c r="F334" s="5"/>
    </row>
    <row r="335" spans="1:6">
      <c r="A335" s="5"/>
      <c r="B335" s="5"/>
      <c r="C335" s="5"/>
      <c r="D335" s="4"/>
      <c r="E335" s="5"/>
      <c r="F335" s="5"/>
    </row>
    <row r="336" spans="1:6">
      <c r="A336" s="5"/>
      <c r="B336" s="5"/>
      <c r="C336" s="5"/>
      <c r="D336" s="4"/>
      <c r="E336" s="5"/>
      <c r="F336" s="5"/>
    </row>
    <row r="337" spans="1:6">
      <c r="A337" s="5"/>
      <c r="B337" s="5"/>
      <c r="C337" s="5"/>
      <c r="D337" s="4"/>
      <c r="E337" s="5"/>
      <c r="F337" s="5"/>
    </row>
    <row r="338" spans="1:6">
      <c r="A338" s="5"/>
      <c r="B338" s="5"/>
      <c r="C338" s="5"/>
      <c r="D338" s="4"/>
      <c r="E338" s="5"/>
      <c r="F338" s="5"/>
    </row>
    <row r="339" spans="1:6">
      <c r="A339" s="5"/>
      <c r="B339" s="5"/>
      <c r="C339" s="5"/>
      <c r="D339" s="4"/>
      <c r="E339" s="5"/>
      <c r="F339" s="5"/>
    </row>
    <row r="340" spans="1:6">
      <c r="A340" s="5"/>
      <c r="B340" s="5"/>
      <c r="C340" s="5"/>
      <c r="D340" s="4"/>
      <c r="E340" s="5"/>
      <c r="F340" s="5"/>
    </row>
    <row r="341" spans="1:6">
      <c r="A341" s="5"/>
      <c r="B341" s="5"/>
      <c r="C341" s="5"/>
      <c r="D341" s="4"/>
      <c r="E341" s="5"/>
      <c r="F341" s="5"/>
    </row>
    <row r="342" spans="1:6">
      <c r="A342" s="5"/>
      <c r="B342" s="5"/>
      <c r="C342" s="5"/>
      <c r="D342" s="4"/>
      <c r="E342" s="5"/>
      <c r="F342" s="5"/>
    </row>
    <row r="343" spans="1:6">
      <c r="A343" s="5"/>
      <c r="B343" s="5"/>
      <c r="C343" s="5"/>
      <c r="D343" s="4"/>
      <c r="E343" s="5"/>
      <c r="F343" s="5"/>
    </row>
    <row r="344" spans="1:6">
      <c r="A344" s="5"/>
      <c r="B344" s="5"/>
      <c r="C344" s="5"/>
      <c r="D344" s="4"/>
      <c r="E344" s="5"/>
      <c r="F344" s="5"/>
    </row>
    <row r="345" spans="1:6">
      <c r="A345" s="5"/>
      <c r="B345" s="5"/>
      <c r="C345" s="5"/>
      <c r="D345" s="4"/>
      <c r="E345" s="5"/>
      <c r="F345" s="5"/>
    </row>
    <row r="346" spans="1:6">
      <c r="A346" s="5"/>
      <c r="B346" s="5"/>
      <c r="C346" s="5"/>
      <c r="D346" s="4"/>
      <c r="E346" s="5"/>
      <c r="F346" s="5"/>
    </row>
    <row r="347" spans="1:6">
      <c r="A347" s="5"/>
      <c r="B347" s="5"/>
      <c r="C347" s="5"/>
      <c r="D347" s="4"/>
      <c r="E347" s="5"/>
      <c r="F347" s="5"/>
    </row>
    <row r="348" spans="1:6">
      <c r="A348" s="5"/>
      <c r="B348" s="5"/>
      <c r="C348" s="5"/>
      <c r="D348" s="4"/>
      <c r="E348" s="5"/>
      <c r="F348" s="5"/>
    </row>
    <row r="349" spans="1:6">
      <c r="A349" s="5"/>
      <c r="B349" s="5"/>
      <c r="C349" s="5"/>
      <c r="D349" s="4"/>
      <c r="E349" s="5"/>
      <c r="F349" s="5"/>
    </row>
    <row r="350" spans="1:6">
      <c r="A350" s="5"/>
      <c r="B350" s="5"/>
      <c r="C350" s="5"/>
      <c r="D350" s="4"/>
      <c r="E350" s="5"/>
      <c r="F350" s="5"/>
    </row>
    <row r="351" spans="1:6">
      <c r="A351" s="5"/>
      <c r="B351" s="5"/>
      <c r="C351" s="5"/>
      <c r="D351" s="4"/>
      <c r="E351" s="5"/>
      <c r="F351" s="5"/>
    </row>
    <row r="352" spans="1:6">
      <c r="A352" s="5"/>
      <c r="B352" s="5"/>
      <c r="C352" s="5"/>
      <c r="D352" s="4"/>
      <c r="E352" s="5"/>
      <c r="F352" s="5"/>
    </row>
    <row r="353" spans="1:6">
      <c r="A353" s="5"/>
      <c r="B353" s="5"/>
      <c r="C353" s="5"/>
      <c r="D353" s="4"/>
      <c r="E353" s="5"/>
      <c r="F353" s="5"/>
    </row>
    <row r="354" spans="1:6">
      <c r="A354" s="5"/>
      <c r="B354" s="5"/>
      <c r="C354" s="5"/>
      <c r="D354" s="4"/>
      <c r="E354" s="5"/>
      <c r="F354" s="5"/>
    </row>
    <row r="355" spans="1:6">
      <c r="A355" s="5"/>
      <c r="B355" s="5"/>
      <c r="C355" s="5"/>
      <c r="D355" s="4"/>
      <c r="E355" s="5"/>
      <c r="F355" s="5"/>
    </row>
    <row r="356" spans="1:6">
      <c r="A356" s="5"/>
      <c r="B356" s="5"/>
      <c r="C356" s="5"/>
      <c r="D356" s="4"/>
      <c r="E356" s="5"/>
      <c r="F356" s="5"/>
    </row>
    <row r="357" spans="1:6">
      <c r="A357" s="5"/>
      <c r="B357" s="5"/>
      <c r="C357" s="5"/>
      <c r="D357" s="4"/>
      <c r="E357" s="5"/>
      <c r="F357" s="5"/>
    </row>
    <row r="358" spans="1:6">
      <c r="A358" s="5"/>
      <c r="B358" s="5"/>
      <c r="C358" s="5"/>
      <c r="D358" s="4"/>
      <c r="E358" s="5"/>
      <c r="F358" s="5"/>
    </row>
    <row r="359" spans="1:6">
      <c r="A359" s="5"/>
      <c r="B359" s="5"/>
      <c r="C359" s="5"/>
      <c r="D359" s="4"/>
      <c r="E359" s="5"/>
      <c r="F359" s="5"/>
    </row>
    <row r="360" spans="1:6">
      <c r="A360" s="5"/>
      <c r="B360" s="5"/>
      <c r="C360" s="5"/>
      <c r="D360" s="4"/>
      <c r="E360" s="5"/>
      <c r="F360" s="5"/>
    </row>
    <row r="361" spans="1:6">
      <c r="A361" s="5"/>
      <c r="B361" s="5"/>
      <c r="C361" s="5"/>
      <c r="D361" s="4"/>
      <c r="E361" s="5"/>
      <c r="F361" s="5"/>
    </row>
    <row r="362" spans="1:6">
      <c r="A362" s="5"/>
      <c r="B362" s="5"/>
      <c r="C362" s="5"/>
      <c r="D362" s="4"/>
      <c r="E362" s="5"/>
      <c r="F362" s="5"/>
    </row>
    <row r="363" spans="1:6">
      <c r="A363" s="5"/>
      <c r="B363" s="5"/>
      <c r="C363" s="5"/>
      <c r="D363" s="4"/>
      <c r="E363" s="5"/>
      <c r="F363" s="5"/>
    </row>
    <row r="364" spans="1:6">
      <c r="A364" s="5"/>
      <c r="B364" s="5"/>
      <c r="C364" s="5">
        <v>360</v>
      </c>
      <c r="D364" s="4">
        <f>D363</f>
        <v>0</v>
      </c>
      <c r="E364" s="5"/>
      <c r="F364" s="5"/>
    </row>
  </sheetData>
  <mergeCells count="1">
    <mergeCell ref="A1:F1"/>
  </mergeCells>
  <hyperlinks>
    <hyperlink ref="B1" r:id="rId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收益计算</vt:lpstr>
      <vt:lpstr>现金贷款(已发生)</vt:lpstr>
      <vt:lpstr>现金贷款(试算)</vt:lpstr>
      <vt:lpstr>19年信用卡消费</vt:lpstr>
      <vt:lpstr>沪深300价值</vt:lpstr>
      <vt:lpstr>刘梓桐进钱</vt:lpstr>
      <vt:lpstr>刘梓桐成本计算</vt:lpstr>
      <vt:lpstr>真实年化利率(学习版)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zhangls</dc:creator>
  <cp:lastModifiedBy>咖啡洒在键盘上</cp:lastModifiedBy>
  <dcterms:created xsi:type="dcterms:W3CDTF">2020-07-21T14:28:00Z</dcterms:created>
  <dcterms:modified xsi:type="dcterms:W3CDTF">2024-03-29T17:20:25Z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18B5FE7EF7F9E1D79EE699627E5F46EB</vt:lpwstr>
  </property>
</Properties>
</file>